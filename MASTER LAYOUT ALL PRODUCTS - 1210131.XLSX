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60" windowWidth="17400" windowHeight="12615" tabRatio="752"/>
  </bookViews>
  <sheets>
    <sheet name="ALL PRODUCTS Layout" sheetId="4" r:id="rId1"/>
    <sheet name="Ethnicity" sheetId="6" r:id="rId2"/>
    <sheet name="Language" sheetId="7" r:id="rId3"/>
  </sheets>
  <definedNames>
    <definedName name="_xlnm.Print_Titles" localSheetId="0">'ALL PRODUCTS Layout'!$3:$3</definedName>
  </definedNames>
  <calcPr calcId="145621"/>
</workbook>
</file>

<file path=xl/calcChain.xml><?xml version="1.0" encoding="utf-8"?>
<calcChain xmlns="http://schemas.openxmlformats.org/spreadsheetml/2006/main">
  <c r="C106" i="4" l="1"/>
  <c r="B107" i="4" s="1"/>
  <c r="C107" i="4" s="1"/>
  <c r="B108" i="4" s="1"/>
  <c r="C108" i="4" s="1"/>
  <c r="B109" i="4" s="1"/>
  <c r="C109" i="4" s="1"/>
  <c r="B110" i="4" s="1"/>
  <c r="C110" i="4" s="1"/>
  <c r="B111" i="4" s="1"/>
  <c r="C111" i="4" s="1"/>
  <c r="B112" i="4" s="1"/>
  <c r="C112" i="4" s="1"/>
  <c r="B113" i="4" s="1"/>
  <c r="C113" i="4" s="1"/>
  <c r="B114" i="4" s="1"/>
  <c r="C114" i="4" s="1"/>
  <c r="B115" i="4" s="1"/>
  <c r="C115" i="4" s="1"/>
  <c r="B116" i="4" s="1"/>
  <c r="C116" i="4" s="1"/>
  <c r="B117" i="4" s="1"/>
  <c r="C117" i="4" s="1"/>
  <c r="B118" i="4" s="1"/>
  <c r="C118" i="4" s="1"/>
  <c r="C67" i="4"/>
  <c r="B68" i="4" s="1"/>
  <c r="C68" i="4" s="1"/>
  <c r="B69" i="4" s="1"/>
  <c r="C69" i="4" s="1"/>
  <c r="B70" i="4" s="1"/>
  <c r="C70" i="4" s="1"/>
  <c r="B71" i="4" s="1"/>
  <c r="C71" i="4" s="1"/>
  <c r="B72" i="4" s="1"/>
  <c r="C72" i="4" s="1"/>
  <c r="B73" i="4" s="1"/>
  <c r="C73" i="4" s="1"/>
  <c r="B74" i="4" s="1"/>
  <c r="C74" i="4" s="1"/>
  <c r="B75" i="4" s="1"/>
  <c r="C75" i="4" s="1"/>
  <c r="B76" i="4" s="1"/>
  <c r="C76" i="4" s="1"/>
  <c r="B77" i="4" s="1"/>
  <c r="C77" i="4" s="1"/>
  <c r="B78" i="4" s="1"/>
  <c r="C78" i="4" s="1"/>
  <c r="B79" i="4" s="1"/>
  <c r="C79" i="4" s="1"/>
  <c r="B80" i="4" s="1"/>
  <c r="C80" i="4" s="1"/>
  <c r="B81" i="4" s="1"/>
  <c r="C81" i="4" s="1"/>
  <c r="B82" i="4" s="1"/>
  <c r="C82" i="4" s="1"/>
  <c r="B83" i="4" s="1"/>
  <c r="C83" i="4" s="1"/>
  <c r="B84" i="4" s="1"/>
  <c r="C84" i="4" s="1"/>
  <c r="B85" i="4" s="1"/>
  <c r="C85" i="4" s="1"/>
  <c r="B86" i="4" s="1"/>
  <c r="C86" i="4" s="1"/>
  <c r="B87" i="4" s="1"/>
  <c r="C87" i="4" s="1"/>
  <c r="B88" i="4" s="1"/>
  <c r="C88" i="4" s="1"/>
  <c r="B89" i="4" s="1"/>
  <c r="C89" i="4" s="1"/>
  <c r="B90" i="4" s="1"/>
  <c r="C90" i="4" s="1"/>
  <c r="B91" i="4" s="1"/>
  <c r="C91" i="4" s="1"/>
  <c r="B92" i="4" s="1"/>
  <c r="C92" i="4" s="1"/>
  <c r="B93" i="4" s="1"/>
  <c r="C93" i="4" s="1"/>
  <c r="B94" i="4" s="1"/>
  <c r="C94" i="4" s="1"/>
  <c r="B95" i="4" s="1"/>
  <c r="C95" i="4" s="1"/>
  <c r="B96" i="4" s="1"/>
  <c r="C96" i="4" s="1"/>
  <c r="B97" i="4" s="1"/>
  <c r="C97" i="4" s="1"/>
  <c r="B98" i="4" s="1"/>
  <c r="C98" i="4" s="1"/>
  <c r="B99" i="4" s="1"/>
  <c r="C99" i="4" s="1"/>
  <c r="B100" i="4" s="1"/>
  <c r="C100" i="4" s="1"/>
  <c r="B101" i="4" s="1"/>
  <c r="C101" i="4" s="1"/>
  <c r="B102" i="4" s="1"/>
  <c r="C102" i="4" s="1"/>
  <c r="B103" i="4" s="1"/>
  <c r="C103" i="4" s="1"/>
  <c r="B104" i="4" s="1"/>
  <c r="C104" i="4" s="1"/>
  <c r="B105" i="4" s="1"/>
  <c r="C105" i="4" s="1"/>
  <c r="C65" i="4"/>
  <c r="B66" i="4" s="1"/>
  <c r="C66" i="4" s="1"/>
  <c r="C4" i="4"/>
  <c r="B5" i="4" s="1"/>
  <c r="C5" i="4" s="1"/>
  <c r="B6" i="4" s="1"/>
  <c r="C6" i="4" s="1"/>
  <c r="B7" i="4" s="1"/>
  <c r="C7" i="4" s="1"/>
  <c r="B8" i="4" s="1"/>
  <c r="C8" i="4" s="1"/>
  <c r="B9" i="4" s="1"/>
  <c r="C9" i="4" s="1"/>
  <c r="B10" i="4" s="1"/>
  <c r="C10" i="4" s="1"/>
  <c r="B11" i="4" s="1"/>
  <c r="C11" i="4" s="1"/>
  <c r="B12" i="4" s="1"/>
  <c r="C12" i="4" s="1"/>
  <c r="B13" i="4" s="1"/>
  <c r="C13" i="4" s="1"/>
  <c r="B14" i="4" s="1"/>
  <c r="C14" i="4" s="1"/>
  <c r="B15" i="4" s="1"/>
  <c r="C15" i="4" s="1"/>
  <c r="B16" i="4" s="1"/>
  <c r="C16" i="4" s="1"/>
  <c r="B17" i="4" s="1"/>
  <c r="C17" i="4" s="1"/>
  <c r="B18" i="4" s="1"/>
  <c r="C18" i="4" s="1"/>
  <c r="B19" i="4" s="1"/>
  <c r="C19" i="4" s="1"/>
  <c r="B20" i="4" s="1"/>
  <c r="C20" i="4" s="1"/>
  <c r="B21" i="4" s="1"/>
  <c r="C21" i="4" s="1"/>
  <c r="B22" i="4" s="1"/>
  <c r="C22" i="4" s="1"/>
  <c r="B23" i="4" s="1"/>
  <c r="C23" i="4" s="1"/>
  <c r="B24" i="4" s="1"/>
  <c r="C24" i="4" s="1"/>
  <c r="B25" i="4" s="1"/>
  <c r="C25" i="4" s="1"/>
  <c r="B26" i="4" s="1"/>
  <c r="C26" i="4" s="1"/>
  <c r="B27" i="4" s="1"/>
  <c r="C27" i="4" s="1"/>
  <c r="B28" i="4" s="1"/>
  <c r="C28" i="4" s="1"/>
  <c r="B29" i="4" s="1"/>
  <c r="C29" i="4" s="1"/>
  <c r="B30" i="4" s="1"/>
  <c r="C30" i="4" s="1"/>
  <c r="B31" i="4" s="1"/>
  <c r="C31" i="4" s="1"/>
  <c r="B32" i="4" s="1"/>
  <c r="C32" i="4" s="1"/>
  <c r="B33" i="4" s="1"/>
  <c r="C33" i="4" s="1"/>
  <c r="B34" i="4" s="1"/>
  <c r="C34" i="4" s="1"/>
  <c r="B35" i="4" s="1"/>
  <c r="C35" i="4" s="1"/>
  <c r="B36" i="4" s="1"/>
  <c r="C36" i="4" s="1"/>
  <c r="B37" i="4" s="1"/>
  <c r="C37" i="4" s="1"/>
  <c r="B38" i="4" s="1"/>
  <c r="C38" i="4" s="1"/>
  <c r="B39" i="4" s="1"/>
  <c r="C39" i="4" s="1"/>
  <c r="B40" i="4" s="1"/>
  <c r="C40" i="4" s="1"/>
  <c r="B41" i="4" s="1"/>
  <c r="C41" i="4" s="1"/>
  <c r="B42" i="4" s="1"/>
  <c r="C42" i="4" s="1"/>
  <c r="B43" i="4" s="1"/>
  <c r="C43" i="4" s="1"/>
  <c r="B44" i="4" s="1"/>
  <c r="C44" i="4" s="1"/>
  <c r="B45" i="4" s="1"/>
  <c r="C45" i="4" s="1"/>
  <c r="B46" i="4" s="1"/>
  <c r="C46" i="4" s="1"/>
  <c r="B47" i="4" s="1"/>
  <c r="C47" i="4" s="1"/>
  <c r="B48" i="4" s="1"/>
  <c r="C48" i="4" s="1"/>
  <c r="B49" i="4" s="1"/>
  <c r="C49" i="4" s="1"/>
  <c r="B50" i="4" s="1"/>
  <c r="C50" i="4" s="1"/>
  <c r="B51" i="4" s="1"/>
  <c r="C51" i="4" s="1"/>
  <c r="B52" i="4" s="1"/>
  <c r="C52" i="4" s="1"/>
  <c r="B53" i="4" s="1"/>
  <c r="C53" i="4" s="1"/>
  <c r="B54" i="4" s="1"/>
  <c r="C54" i="4" s="1"/>
  <c r="B55" i="4" s="1"/>
  <c r="C55" i="4" s="1"/>
  <c r="B56" i="4" s="1"/>
  <c r="C56" i="4" s="1"/>
  <c r="B57" i="4" s="1"/>
  <c r="C57" i="4" s="1"/>
  <c r="B58" i="4" s="1"/>
  <c r="C58" i="4" s="1"/>
  <c r="B59" i="4" s="1"/>
  <c r="C59" i="4" s="1"/>
  <c r="B60" i="4" s="1"/>
  <c r="C60" i="4" s="1"/>
  <c r="B61" i="4" s="1"/>
  <c r="C61" i="4" s="1"/>
  <c r="B62" i="4" s="1"/>
  <c r="C62" i="4" s="1"/>
  <c r="B63" i="4" s="1"/>
  <c r="C63" i="4" s="1"/>
  <c r="B64" i="4" s="1"/>
  <c r="C64" i="4" s="1"/>
</calcChain>
</file>

<file path=xl/sharedStrings.xml><?xml version="1.0" encoding="utf-8"?>
<sst xmlns="http://schemas.openxmlformats.org/spreadsheetml/2006/main" count="1271" uniqueCount="782">
  <si>
    <t>CSA Code</t>
  </si>
  <si>
    <t>MSA Code</t>
  </si>
  <si>
    <t>A 4-digit code representing the Metropolitan Statistical Area (MSA). The United States Census Bureau has defined 363 MSAs for the US. The Census Bureau defines a Metropolitan Statistical Area as one or more adjacent counties or county equivalents that have at least one urban core area of at least 50,000 population, plus adjacent territory that has a high degree of social and economic integration with the core as measured by commuting ties.</t>
  </si>
  <si>
    <t>Secondary Mail Confidence</t>
  </si>
  <si>
    <t>Mailing Confidence of the Secondary Address:
1 - ACCURATE MAILABLE ADDRESS
2 - PROBABLY DELIVERABLE
3 - MIGHT BE DELIVERABLE
4 - PROBABLY UNDELIVERABLE
5 - UNDELIVERABLE DO NOT MAIL
0 - NO ABI/ADDRESS MATCH</t>
  </si>
  <si>
    <t>Phone</t>
  </si>
  <si>
    <t>The telephone number is shown with the area code in the first three positions.  (No hyphens or parentheses appear in this field.)</t>
  </si>
  <si>
    <t>Contact Last Name</t>
  </si>
  <si>
    <t>The contact's last name.</t>
  </si>
  <si>
    <t>Contact First Name</t>
  </si>
  <si>
    <t>The contact's first name.</t>
  </si>
  <si>
    <t>Professional Title</t>
  </si>
  <si>
    <t>Employment Derivation Flag</t>
  </si>
  <si>
    <t>Determines how employment code was derived.
A= Actual  
B= Modeled by Business
C= Modeled by SIC
D= Modeled by Professional Individual</t>
  </si>
  <si>
    <t>Sales Volume Code</t>
  </si>
  <si>
    <t>This field contains an alpha code corresponding to the estimated sales of the business in thousands of dollars.
A               1   -        499
B            500  -        999
C         1,000  -     2,499
D         2,500  -     4,999
E         5,000  -     9,999
F       10,000  -    19,999
G       20,000  -    49,999
H       50,000  -    99,999
I       100,000  -  499,999
J      500,000  -  999,999
K   1,000,000 +</t>
  </si>
  <si>
    <t>Subsidiary Parent Number</t>
  </si>
  <si>
    <t>Ultimate Parent Number</t>
  </si>
  <si>
    <t>The subsidiary parent number identifies the business as a regional or subsidiary headquarters for a corporate family.  The subsidiary will always have an ultimate parent and may or may not have branches assigned to it.</t>
  </si>
  <si>
    <t>The ultimate parent number identifies the ultimate corporate parent of the business and also serves as the ABI number for the headquarters site of the ultimate parent.  Since all locations of a business have the same ultimate parent number, this field provides 'corporate ownership' linkage information. This information is not collected or maintained for the types of organizations for which ownership is ambiguous.  Churches and schools, in particular, are not linked in the file for this reason.</t>
  </si>
  <si>
    <t>The name shown is that by which the business is known or under which it conducts its business.</t>
  </si>
  <si>
    <t>The ZIP+4 code, together with the Zip Code constitutes the full 9-digit code used for delivery by the USPS.</t>
  </si>
  <si>
    <t>The deliverability score of the Primary address.</t>
  </si>
  <si>
    <t>Secondary Mail Score</t>
  </si>
  <si>
    <t xml:space="preserve">The deliverability score of the Secondary address. </t>
  </si>
  <si>
    <t>Secondary Address</t>
  </si>
  <si>
    <t>The business's location address when both location and postal address are known.</t>
  </si>
  <si>
    <t>Secondary City</t>
  </si>
  <si>
    <t>The city of the location address.</t>
  </si>
  <si>
    <t>Secondary State</t>
  </si>
  <si>
    <t>Secondary Zip Code</t>
  </si>
  <si>
    <t>Secondary Zip+4 Code</t>
  </si>
  <si>
    <t>The ZIP+4 code for the location address.</t>
  </si>
  <si>
    <t>Year Established CCYY</t>
  </si>
  <si>
    <t>The year the business/organization was first established.</t>
  </si>
  <si>
    <t>Number of Employees (Actual)</t>
  </si>
  <si>
    <t>This field contains the number of employees who work at this location of the business.</t>
  </si>
  <si>
    <t>Estimated Sales Volume (Location)</t>
  </si>
  <si>
    <t>A modeled figure derived from employment size and other factors to indicate the sales volume of the business.</t>
  </si>
  <si>
    <t>Total Sales Volume (Actual for Corp)</t>
  </si>
  <si>
    <t>Date Added to Database CCYYMM</t>
  </si>
  <si>
    <t>Business Status Code</t>
  </si>
  <si>
    <t>The code denoting whether the business is a headquarter, a branch, or a subsidiary headquarter. If the business is none of these, the field will be blank.
1 = Headquarters
2 = Branches
3 = Subsidiary Headquarters
9 = Not Linked</t>
  </si>
  <si>
    <t>Indicates a publicly-held business or that it is a branch of a publicly held company.
0 - Private
1 - Public
2 - Branch</t>
  </si>
  <si>
    <t>Public Company Indicator</t>
  </si>
  <si>
    <t>Fortune Rank</t>
  </si>
  <si>
    <t>Fortune 1000 ranking.  Updated yearly.  If two Fortune Ranked companies merge then the number of ranked companies will decrease by one.  This field will be blank on all unranked businesses.</t>
  </si>
  <si>
    <t>Address Type Indicator</t>
  </si>
  <si>
    <t>This field identifies an additional activity of the business. If there is no additional activity, this field will be blank.  Approximately 23% of the records in the database have 2 SIC Codes.</t>
  </si>
  <si>
    <t>This field contains the 6-digit SIC code for the business's primary activity. Approximately 79% of the records in the database have only 1 SIC Code.</t>
  </si>
  <si>
    <t>North American Industry Classification System code. Standard codes are 6 bytes - a proprietary 8 byte code is used to increase the accuracy of a match to the SIC Codes.</t>
  </si>
  <si>
    <t>NAICS Code</t>
  </si>
  <si>
    <t>NAICS Code Description</t>
  </si>
  <si>
    <t>North American Industry Classification System description.</t>
  </si>
  <si>
    <t>The formatted version of the latitude data element.</t>
  </si>
  <si>
    <t>LATITUDE (+3.6 DD FORMAT)</t>
  </si>
  <si>
    <t>LONGITUDE (-3.6 DD FORMAT)</t>
  </si>
  <si>
    <t>Primary URL Address</t>
  </si>
  <si>
    <t>The Primary Web address (URL) of the business.</t>
  </si>
  <si>
    <t>Last Modified Date CCYYMM</t>
  </si>
  <si>
    <t>The date (CCYYMM) this particular listing was added or changed in the database.</t>
  </si>
  <si>
    <t>Action Code</t>
  </si>
  <si>
    <t>Year of First Appearance CCYY</t>
  </si>
  <si>
    <t>The year of first appearance in the telephone directory.  This field is related to the selected SIC only, and was first tracked starting in 1984.   New Adds Only.</t>
  </si>
  <si>
    <t>The date (CCYYMM) this particular listing was added to the database via one of our multiple sources or when we last obtained a telephone number or a new address for the business.  Indicates the year the record was a new add.</t>
  </si>
  <si>
    <t>Reported Dollar Sales Amount for the corporation.</t>
  </si>
  <si>
    <t>Business Owner Home Address</t>
  </si>
  <si>
    <t>Business Owner Home City</t>
  </si>
  <si>
    <t>Business Owner Home State</t>
  </si>
  <si>
    <t>Business Owner Home Zip Code</t>
  </si>
  <si>
    <t>Business Owner Home Zip+4</t>
  </si>
  <si>
    <t>Secondary SIC Description</t>
  </si>
  <si>
    <t>Description of the secondary Standard Industrial Classification code</t>
  </si>
  <si>
    <t>Primary SIC Description</t>
  </si>
  <si>
    <t>Description of the primary Standard Industrial Classification code</t>
  </si>
  <si>
    <t>The contact's professional title.
CPA - Certified Public Accountant
DC - Doctor of Chirpractic Medicine
DDS - Doctor of Dental Surgery
DO - Doctor of Osteopathic Medicine
DPM - Doctor of Podiatry
DVM - Doctor of Veterinary Medicine
MD - Doctor of Medicine
OD - Doctor of Optometry
PE - Professional Engineer
PHD - Doctor of Philosophy</t>
  </si>
  <si>
    <t>Title Code</t>
  </si>
  <si>
    <t xml:space="preserve">Title of the designated contact derived from Teleresearch or other source  compilation.
1  Owner
2  President
3  Manager
4  Executive Director
5  Principal
6  Publisher
7  Administrator
8  Religious Leader
9  Partner
A  Chairman
B  Vice Chairman
C  Chief Executive Officer
D  Director (Public Co)
E  Chief Operating Officer (COO)
F  Chief Financial Officer (CFO)
G  Treasurer
H  Controller
I  Executive Vice President
J  Senior Vice President
K  Vice President
L  Administration Executive 
M  Corporate Communications Executive
N  Data Processing Executive
O  Finance Executive
P  Human Resources Executive
Q  Telecommunication Executive 
R  Marketing Executive
S  Operations Executive
T  Sales Executive
U  Corporate Secretary 
V  General Counsel 
W  Executive Officer
X  Plant Manager
Y  Purchasing Agent
Z  Auditor
</t>
  </si>
  <si>
    <t>Primary consumer street address for the business owner</t>
  </si>
  <si>
    <t>Primary consumer city for the business owner</t>
  </si>
  <si>
    <t>Primary consumer state for the business owner</t>
  </si>
  <si>
    <t>Primary consumer zip code for the business owner</t>
  </si>
  <si>
    <t>Business Owner Link Indicator</t>
  </si>
  <si>
    <t>Values: 'O' for BOL, 'E' for BEL</t>
  </si>
  <si>
    <t xml:space="preserve">Tax-Lien Count + Bankruptcy + Judgment + Collection-Counter + 
UCC Derog </t>
  </si>
  <si>
    <t>Number of years since the credit file was established. Derive as follows: 
Current Date (CCYYMM) — Credit File Establishment Date (CCYYMM).</t>
  </si>
  <si>
    <t xml:space="preserve">Indicates presence of Uniform Commercial Code (UCC) filing, which states that the business has secured a line of credit by collateral 
D = Indicates significant collateral has
 been pledged
Y = Indicates presence of UCC filings
</t>
  </si>
  <si>
    <t xml:space="preserve">Proprietary credit model, dependent
on days beyond terms (DBT)
0 = Not evaluated
1 = Good credit risk (0–15 DBT)
2 = Reasonable credit risk (16–30 DBT)
3 = Potential credit risk (31–45 DBT)
4 = Probable credit risk (46–60 DBT)
5 = Significant credit risk (61–75 DBT)
6 = Significant credit risk (76–90 DBT)
7 = Significant credit risk (91–105 DBT)
</t>
  </si>
  <si>
    <t>Business Identification Number used to 
match the record to Experian’s business credit database</t>
  </si>
  <si>
    <t xml:space="preserve">Risk Evaluation Code corresponding to a given Commercial Intelliscore 210. Domain includes:
HR (High Risk) = 0.00–32.47 
MHR (Medium–High Risk) = 32.48–58.63
MR (Medium Risk) = 58.64–70.19
LMR (Low–Medium Risk) = 70.20–77.71 
L (Low Risk) = 77.72–100.00 
B (Bankruptcy) = 998.00 
LD (Limited Data) = 999.00 
NS (No Score) = Blanks 
</t>
  </si>
  <si>
    <t>Length</t>
  </si>
  <si>
    <t>Description</t>
  </si>
  <si>
    <t>Primary SIC Code</t>
  </si>
  <si>
    <t>Bankruptcy Indicator</t>
  </si>
  <si>
    <t>Bankruptcy Flag; “Y” indicates bankruptcy within the last 4 weeks.</t>
  </si>
  <si>
    <t>Judgment Indicator</t>
  </si>
  <si>
    <t>Judgment Flag; “Y” indicates presence of judgment</t>
  </si>
  <si>
    <t>Tax Lien Indicator</t>
  </si>
  <si>
    <t>Tax Lien Flag; “Y” indicates presence of tax lien.</t>
  </si>
  <si>
    <t>Bankruptcy Filed Indicator</t>
  </si>
  <si>
    <t>Bankruptcy Filed Flag; “Y” indicates bankruptcy filed in the last 10 years.</t>
  </si>
  <si>
    <t>Payment Indicator</t>
  </si>
  <si>
    <t>Payment Flag; “Y” indicates payment.</t>
  </si>
  <si>
    <t>Number of Legal Derogatory Items</t>
  </si>
  <si>
    <t>Tax Lien Balance</t>
  </si>
  <si>
    <t>Dollar amount of the tax lien</t>
  </si>
  <si>
    <t>Bankruptcy Balance</t>
  </si>
  <si>
    <t>Dollar amount in the bankruptcy filing</t>
  </si>
  <si>
    <t>Judgment Balance</t>
  </si>
  <si>
    <t>Dollar amount specified in the judgment</t>
  </si>
  <si>
    <t>Credit File Establishment Date</t>
  </si>
  <si>
    <t>The date the credit data is added to the Experian Credit File (CCYYMM)</t>
  </si>
  <si>
    <t>Years In File</t>
  </si>
  <si>
    <t>Derogatory Legal Indicator</t>
  </si>
  <si>
    <t>Date of most recent derogatory public record filing</t>
  </si>
  <si>
    <t>Legal Liability Amount</t>
  </si>
  <si>
    <t>Total dollar amount of debtor’s legal liability, including accounts in collection, tax liens, judgments and/or bankruptcies</t>
  </si>
  <si>
    <t>UCC Data Indicator</t>
  </si>
  <si>
    <t>UCC Count</t>
  </si>
  <si>
    <t>Number of UCC filings</t>
  </si>
  <si>
    <t>Last Experian Inquiry Date CCYYMMDD</t>
  </si>
  <si>
    <t xml:space="preserve">Recent High Credit </t>
  </si>
  <si>
    <t>Median Credit Amount</t>
  </si>
  <si>
    <t>Median amount of extended credit, based on tradelines present on Experian’s business credit database within the past 12 months</t>
  </si>
  <si>
    <t>Total Combined Tradelines</t>
  </si>
  <si>
    <t>Number of tradelines that have been updated within the past three months</t>
  </si>
  <si>
    <t>Days Beyond Terms of Combined Trade Totals</t>
  </si>
  <si>
    <t>States the average number of days beyond terms the company pays its bills based on continuously contributed tradelines</t>
  </si>
  <si>
    <t>Combined Trade Balance</t>
  </si>
  <si>
    <t>Total dollar amount of all combined</t>
  </si>
  <si>
    <t>Aged Tradelines Count</t>
  </si>
  <si>
    <t>Number of tradelines with no updates in the past three months</t>
  </si>
  <si>
    <t>Percentage of Trade — Current</t>
  </si>
  <si>
    <t>Percentage of Trade — 31–60 Days Beyond Terms</t>
  </si>
  <si>
    <t>Percentage of combined account balances 31 to 60 days past due</t>
  </si>
  <si>
    <t>Percentage of Trade — More Than 60 Days Beyond Terms</t>
  </si>
  <si>
    <t>Percentage of combined account balances more than 60 days past due</t>
  </si>
  <si>
    <t>Experian Credit Rating</t>
  </si>
  <si>
    <t>A modeled score used for risk assessment. Designed to predict 90-day payment delinquency of businesses of all sizes crossing all industries. The core ranges from 0 to 100. The higher the score, the lower the risk. Format 99999.99.</t>
  </si>
  <si>
    <t>Indicates the percentage of businesses that would have scores below that of this business</t>
  </si>
  <si>
    <t>Quarter 1 Average DBT</t>
  </si>
  <si>
    <t>Indicates the average days beyond terms for the most recent quarter</t>
  </si>
  <si>
    <t>Quarter 2 Average DBT</t>
  </si>
  <si>
    <t>Indicates the average days beyond terms for the next prior quarter</t>
  </si>
  <si>
    <t>Quarter 3 Average DBT</t>
  </si>
  <si>
    <t>Quarter 4 Average DBT</t>
  </si>
  <si>
    <t>Quarter 5 Average DBT</t>
  </si>
  <si>
    <t>County Code</t>
  </si>
  <si>
    <t>Start</t>
  </si>
  <si>
    <t>Date of most recent credit inquiry by Experian’s credit clients within past nine months</t>
  </si>
  <si>
    <t>Highest single amount of credit extended in the last 12 months to this business</t>
  </si>
  <si>
    <t>Percentage of combined account balances considered current relative to payment terms</t>
  </si>
  <si>
    <t>BIS Business Identification Number (PBIN)</t>
  </si>
  <si>
    <t>Commercial Intelliscore 210 Risk Evaluation Code</t>
  </si>
  <si>
    <t xml:space="preserve">Commercial Intelliscore 210 Percentile  </t>
  </si>
  <si>
    <t>CBSA Code</t>
  </si>
  <si>
    <t>End</t>
  </si>
  <si>
    <t>Derogatory Legal File Date CCYYMMDD</t>
  </si>
  <si>
    <t>Key codes</t>
  </si>
  <si>
    <t xml:space="preserve">The unique identifier for each business in the database.  </t>
  </si>
  <si>
    <t>The PO Box Number of the business is provided if one is available.  Where there is no postal address, a location is shown if one is available.  Where no address is available, this field is blank.</t>
  </si>
  <si>
    <t>The city name identifies the town or municipality in which the address is situated.  The city corresponds to the PO Box Number or the physical address, depending on which type of address is provided.</t>
  </si>
  <si>
    <t>The 2-letter US Postal Service (USPS) abbreviation is used to identify the state in which the city is located.</t>
  </si>
  <si>
    <t>USPS 5-digit ZIP code assigned to the business address.</t>
  </si>
  <si>
    <t>Location Number</t>
  </si>
  <si>
    <t>Company Name</t>
  </si>
  <si>
    <t>Address</t>
  </si>
  <si>
    <t>City</t>
  </si>
  <si>
    <t>State Abbreviation</t>
  </si>
  <si>
    <t>ZIP Code</t>
  </si>
  <si>
    <t>ZIP + 4</t>
  </si>
  <si>
    <t>State Numeric Code</t>
  </si>
  <si>
    <t>A 2-digit code is assigned to the state in which the ZIP code is situated, in accordance with FIPS.</t>
  </si>
  <si>
    <t>A 3-digit code is assigned to the county in which the business ZIP code is situated, in accordance with FIPS.</t>
  </si>
  <si>
    <t>CBSA Level</t>
  </si>
  <si>
    <t>Adjoining CBSA's.  Combination of metro and micro areas</t>
  </si>
  <si>
    <t>Description of the city and state that make up the CBSA code.</t>
  </si>
  <si>
    <t>CBSA Description</t>
  </si>
  <si>
    <t>Primary Mail Confidence</t>
  </si>
  <si>
    <t>Mailing Confidence of the Primary Address:
1 - ACCURATE MAILABLE ADDRESS
2 - PROBABLY DELIVERABLE
3 - MIGHT BE DELIVERABLE
4 - PROBABLY UNDELIVERABLE
5 - UNDELIVERABLE DO NOT MAIL
0 - NO ABI/ADDRESS MATCH</t>
  </si>
  <si>
    <t xml:space="preserve">Primary Mail Score </t>
  </si>
  <si>
    <t>Business Owner First Name</t>
  </si>
  <si>
    <t>Business Owner Last Name</t>
  </si>
  <si>
    <t>The business owner's first name.</t>
  </si>
  <si>
    <t>The business owner's last name.</t>
  </si>
  <si>
    <r>
      <t>The U.S. Postal Service</t>
    </r>
    <r>
      <rPr>
        <vertAlign val="superscript"/>
        <sz val="10"/>
        <color indexed="8"/>
        <rFont val="Arial"/>
        <family val="2"/>
      </rPr>
      <t>®</t>
    </r>
    <r>
      <rPr>
        <sz val="10"/>
        <color indexed="8"/>
        <rFont val="Arial"/>
        <family val="2"/>
      </rPr>
      <t xml:space="preserve"> state abbreviation for the location address.</t>
    </r>
  </si>
  <si>
    <r>
      <t>The five-digit ZIP Code</t>
    </r>
    <r>
      <rPr>
        <vertAlign val="superscript"/>
        <sz val="10"/>
        <color indexed="8"/>
        <rFont val="Arial"/>
        <family val="2"/>
      </rPr>
      <t>TM</t>
    </r>
    <r>
      <rPr>
        <sz val="10"/>
        <color indexed="8"/>
        <rFont val="Arial"/>
        <family val="2"/>
      </rPr>
      <t xml:space="preserve"> relating to the location address.</t>
    </r>
  </si>
  <si>
    <r>
      <t>Commercial Intelliscore</t>
    </r>
    <r>
      <rPr>
        <vertAlign val="superscript"/>
        <sz val="10"/>
        <color indexed="8"/>
        <rFont val="Arial"/>
        <family val="2"/>
      </rPr>
      <t>SM</t>
    </r>
    <r>
      <rPr>
        <sz val="10"/>
        <color indexed="8"/>
        <rFont val="Arial"/>
        <family val="2"/>
      </rPr>
      <t xml:space="preserve">  210</t>
    </r>
  </si>
  <si>
    <t>Indicates presence of any derogatory public record filings such as tax liens and/or judgments, bankruptcy or any collection accounts associated with
the business.
C = Indicates presence of any accounts
 in collection associated with this
 business
Y = Derogatory legal data (tax lien,
 judgment and/or bankruptcy)</t>
  </si>
  <si>
    <t>Secondary SIC Code</t>
  </si>
  <si>
    <t>A value indicating specific details about the mailing address of the business 
F = Firm delivery point
G = General delivery
H = High-rise
P = Post office box
R = Rural route or highway
S = Street address</t>
  </si>
  <si>
    <t>The formatted version of the longitude data element.</t>
  </si>
  <si>
    <t>Indicates if an area is a micropolitan or metropolitan area
1          MICROPOLITAN
2          METROPOLITAN
Blank  UNKNOWN</t>
  </si>
  <si>
    <t xml:space="preserve">Core Based Statistical Area (expanded MSA Code) Code refers to the region based around an urban center of at least 10,000 people. It refers to both metropolitan statistical areas and micropolitan areas which are urban clusters of at least 10,000 and fewer than 50,000 people. </t>
  </si>
  <si>
    <t>Filler</t>
  </si>
  <si>
    <t>For future use</t>
  </si>
  <si>
    <t>This field contains an alpha code for the number of employees that work at the business.
A    1 - 4
B    5 - 9
C   10 - 19
D   20 - 49 
E   50 - 99
F   100 - 249
G  250 - 499
H  500 - 999
I   1,000 - 4,999
J   5,000 - 9,999
K  10,000 - +</t>
  </si>
  <si>
    <t>Business Owner Middle Name</t>
  </si>
  <si>
    <t>The business owner's middle name.</t>
  </si>
  <si>
    <t>Business Owner Generation Code</t>
  </si>
  <si>
    <t>Blank</t>
  </si>
  <si>
    <t>Corporation Date</t>
  </si>
  <si>
    <t>Filing Type</t>
  </si>
  <si>
    <t>Indicates how the business was filed: 
C - Corporation
D - DBA
L - License
U - Unknown</t>
  </si>
  <si>
    <t>DB File Code</t>
  </si>
  <si>
    <t>Indicates the database where the Company record resides:
H = Hotline
U = US Business</t>
  </si>
  <si>
    <t>The given generation code for the business owner, such as I, II, III, IV etc., or Jr., Sr. or Blanks</t>
  </si>
  <si>
    <t>The business owner's professional title.
CPA - Certified Public Accountant
DC - Doctor of Chiropractic Medicine
DDS - Doctor of Dental Surgery
DO - Doctor of Osteopathic Medicine
DPM - Doctor of Podiatry
DVM - Doctor of Veterinary Medicine
MD - Doctor of Medicine
OD - Doctor of Optometry
PE - Professional Engineer
PHD - Doctor of Philosophy</t>
  </si>
  <si>
    <t xml:space="preserve">Title of the designated business owner derived from Teleresearch or other source  compilation.
1  Owner
2  President
3  Manager
4  Executive Director
5  Principal
6  Publisher
7  Administrator
8  Religious Leader
9  Partner
A  Chairman
B  Vice Chairman
C  Chief Executive Officer
D  Director (Public Co)
E  Chief Operating Officer (COO)
F  Chief Financial Officer (CFO)
G  Treasurer
H  Controller
I  Executive Vice President
J  Senior Vice President
K  Vice President
L  Administration Executive 
M  Corporate Communications Executive
N  Data Processing Executive
O  Finance Executive
P  Human Resources Executive
Q  Telecommunication Executive 
R  Marketing Executive
S  Operations Executive
T  Sales Executive
U  Corporate Secretary 
V  General Counsel 
W  Executive Officer
X  Plant Manager
Y  Purchasing Agent
Z  Auditor
</t>
  </si>
  <si>
    <t>Primary consumer zip+4 code for the business owner</t>
  </si>
  <si>
    <t>Primary Address Carrier Route Code</t>
  </si>
  <si>
    <t>The carrier route for the primary business address as assigned by the USPS.</t>
  </si>
  <si>
    <t>Secondary Address Carrier Route Code</t>
  </si>
  <si>
    <t>The carrier route for the secondary location address as assigned by the USPS.</t>
  </si>
  <si>
    <t>Employee Size Code</t>
  </si>
  <si>
    <t>The date the corporation was filed. Format is MMDDYYYY.</t>
  </si>
  <si>
    <t>Match Type</t>
  </si>
  <si>
    <t>Match Score</t>
  </si>
  <si>
    <t>Base Record</t>
  </si>
  <si>
    <t>Full Record</t>
  </si>
  <si>
    <t>New Business Record</t>
  </si>
  <si>
    <t>Contact Enhancement</t>
  </si>
  <si>
    <t>Contact Demographic Enhancement</t>
  </si>
  <si>
    <t>Full Record Enhancement</t>
  </si>
  <si>
    <t>Reverse Phone Enhancement</t>
  </si>
  <si>
    <t>Credit Enhancement</t>
  </si>
  <si>
    <t>BOL Enhancement</t>
  </si>
  <si>
    <t>X</t>
  </si>
  <si>
    <t>Credit Record</t>
  </si>
  <si>
    <t>BOL Record</t>
  </si>
  <si>
    <t>Data Element</t>
  </si>
  <si>
    <t xml:space="preserve">Standard File Layout </t>
  </si>
  <si>
    <t>Primary Census Tract</t>
  </si>
  <si>
    <t xml:space="preserve">The census tract of the primary address. Census tracts are small, relatively permanent geographic entities within counties (or the statistical equivalents of counties) that are identified by a four-digit basic number and may have a two-digit numeric suffix. </t>
  </si>
  <si>
    <t>Primary Block Group</t>
  </si>
  <si>
    <t>The block group of the primary address. A census block group (BG) is a cluster of census blocks having the same first digit of their four-digit identifying numbers (or blocks) within a census tract. For instance, census block 2 would have any block numbered 2000 to 2999.</t>
  </si>
  <si>
    <t>Primary Delivery Point Bar Code</t>
  </si>
  <si>
    <t>The delivery point bar code for the business location.</t>
  </si>
  <si>
    <t>Radius Distance</t>
  </si>
  <si>
    <t xml:space="preserve">Distance between two locations, with implied 2 decimal positions </t>
  </si>
  <si>
    <t>Radius Store Number</t>
  </si>
  <si>
    <t>Store number provided by client</t>
  </si>
  <si>
    <t>Radius Store Name</t>
  </si>
  <si>
    <t>Store name provide by client</t>
  </si>
  <si>
    <t>Secondary NAICS Code</t>
  </si>
  <si>
    <t>Secondary NAICS Description</t>
  </si>
  <si>
    <t>DEMO_WORK_AT_HOME_FLAG</t>
  </si>
  <si>
    <t>A '1' Indicates a home-based business.
Blank = Null</t>
  </si>
  <si>
    <t>MISC_PRESENCE_OF_ZIP4</t>
  </si>
  <si>
    <t>Presence of ZIP4  Y=Yes, Blank=No</t>
  </si>
  <si>
    <t>MISC_PRESENCE_OF_PHONE</t>
  </si>
  <si>
    <t>Presence of Phone  Y=Yes, Blank=No</t>
  </si>
  <si>
    <t>MISC_PRESENCE_OF_CONTACT</t>
  </si>
  <si>
    <t>Presence of Contact Y=Yes, Blank=No</t>
  </si>
  <si>
    <t>MISC_PRESENCE_OF_CREDIT</t>
  </si>
  <si>
    <t>Presence of Credit  Y=Yes, Blank=No</t>
  </si>
  <si>
    <t>00_BUS_OWNER_TRUVUE_ID</t>
  </si>
  <si>
    <t>TrueVue ID # if available from BOL process</t>
  </si>
  <si>
    <t>MISC_FRANCHISE_CD</t>
  </si>
  <si>
    <t>The expanded list of franchise codes.  There can be upto six unique 3 byte codes, each representing an individual franchise, within this field. They are all associated with the primary sic code.  (For all Franchise codes, see Fran3New code master)</t>
  </si>
  <si>
    <t>MISC_SEC_GRP1_FRAN18</t>
  </si>
  <si>
    <t>An additional, expanded, sub-classification of certain SIC codes used to identify franchise/brand affiliation or professional specialty.  This field is related to the Secondary SIC Code #1.</t>
  </si>
  <si>
    <t>MISC_TRUE_FRANCHISE_FLAG</t>
  </si>
  <si>
    <t>A '1' or a '2' indicates a "true" franchise, a record that is linked to the company of which it is a franchise.  No distinction is made for whether a franchisee is company owned or individually owned &amp; operated.
1= HQ or Sub HQ of a franchise
2= Branch of a franchise
Blank= Not a franchise</t>
  </si>
  <si>
    <t>MISC_FIRM_CODE</t>
  </si>
  <si>
    <t>The code that identifies the yellow page listing is for a business or for an individual.  This field helps clients identify if the record represents a professional individual versus a firm record.
1=Individual
2=Firm</t>
  </si>
  <si>
    <t>MISC_SITE_NUMBER</t>
  </si>
  <si>
    <t>Designates related businesses at one site, identifying the primary business.  If Infogroup ID (LocNum) and Site# are the same, then the record is the primary business at the site.  If Infogroup ID (LocNum) and Site# are different, then the record is a secondary business at the site.</t>
  </si>
  <si>
    <t>DEMO_PAR_PRIM_NBR</t>
  </si>
  <si>
    <t>Only the primary number of primary address. Address primary number or "house number"  Address component that precedes street name  May contain alpha characters and/or a single hyphen Conforms to Postal Addressing Standards - Publication 28.</t>
  </si>
  <si>
    <t>DEMO_PAR_PRIM_DIR_IND</t>
  </si>
  <si>
    <t>Street pre-direction abbreviation ie geographic direction that precedes the street name in the primary address:
N = North
S = South
E = East
W = West
NW = Northwest
SW = Southwest
NE = Northeast
SE = Southeast</t>
  </si>
  <si>
    <t>DEMO_PAR_PRIM_STREET</t>
  </si>
  <si>
    <t>Only the street name of Primary address</t>
  </si>
  <si>
    <t>DEMO_PAR_PRIM_SUFFIX</t>
  </si>
  <si>
    <t xml:space="preserve">Only the street suffix abbreviation ie the trailing designator in the primary street address. Rule:  2, 3 or 4 alpha characters.
St = Street
Dr = Drive
Ave = Avenue
Cir = Circle
Crt = Court
Pkwy = Parkway
Blvd = Boulevard
Ln = Lane
See Tab for all possible values. </t>
  </si>
  <si>
    <t>DEMO_PAR_PRIM_POST_DIR_IND</t>
  </si>
  <si>
    <t>Only the street suffix abbreviation in the Primary address ie the trailing designator in a street address. Rule: 2 ,3 or 4 alpha characters.
N = North
S = South
E = East
W = West
NW = Northwest
SW = Southwest
NE = Northeast
SE = Southeast</t>
  </si>
  <si>
    <t>DEMO_PAR_PRIM_SECOND_NBR</t>
  </si>
  <si>
    <t xml:space="preserve">Only the Secondary number of the Primary address. Suite numbers will be provided here. </t>
  </si>
  <si>
    <t>DEMO_PAR_SEC_NBR</t>
  </si>
  <si>
    <t>Only the primary number of the secondary address, also known as the "house number".  Address component that precedes street name  May contain alpha characters and/or a single hyphen Conforms to Postal Addressing Standards - Publication 28.</t>
  </si>
  <si>
    <t>DEMO_PAR_SEC_DIR_IND</t>
  </si>
  <si>
    <t>Street pre-direction abbreviation ie geographic direction that precedes the street name in the secondary address.
N = North
S = South
E = East
W = West
NW = Northwest
SW = Southwest
NE = Northeast
SE = Southeast</t>
  </si>
  <si>
    <t>DEMO_PAR_SEC_SEC_STREET</t>
  </si>
  <si>
    <t>Only the street name of Secondary address</t>
  </si>
  <si>
    <t>DEMO_PAR_SEC_SUFFIX</t>
  </si>
  <si>
    <t xml:space="preserve">Only the street suffix abbreviation ie the trailing designator in the secondary street address.  Rule: 2, 3 or 4 alpha characters.
ST = Street
Dr = Drive
Ave = Avenue
Cir = Circle
Crt = Court
Pkwy = Parkway
Blvd = Boulevard
Ln = Lane
See Tab for all possible values. </t>
  </si>
  <si>
    <t>DEMO_PAR_SEC_POST_DIR_IND</t>
  </si>
  <si>
    <t>Only the street suffix abbreviation in the Secondary address ie the trailing designator in a street address. Rule: 2 ,3 or 4 alpha characters.
N = North
S = South
E = East
W = West
NW = Northwest
SW = Southwest
NE = Northeast
SE = Southeast</t>
  </si>
  <si>
    <t>DEMO_PAR_SEC_SECOND_NBR</t>
  </si>
  <si>
    <t xml:space="preserve">Only the Secondary number of the Secondary address. Suite numbers will be provided here. </t>
  </si>
  <si>
    <t>MISC_FIRM_TYPE</t>
  </si>
  <si>
    <t>BF = Branch of Non-US Sub
BN = Branch of Non-US Parent
BR = Branch of US Parent
BU = Branch of US Sub
CO = Cooperative
DV = Division
GV = Government Owned
JV = Joint Venture
NP = Non-profit Organization
PC = Public Parent Co                                                                                PF = Pvt Sub of Non-US Parent                                                                                                                              PU = Private Sub of US Parent                                                                                                               PV = Private Company                                                                                                             SF = Publ Sub of Non-US Parent                                                                                                          SL = Single Location                                                                        SU = Public Sub of US Parent</t>
  </si>
  <si>
    <t>MISC_BIZ_ENTITY</t>
  </si>
  <si>
    <t>C = Corporation
P = Partnership
S = Sole Proprietorship
U = Unknown</t>
  </si>
  <si>
    <t>CONTACT_LNAME</t>
  </si>
  <si>
    <t>Additional Contact Last Name if available</t>
  </si>
  <si>
    <t>CONTACT_FNAME</t>
  </si>
  <si>
    <t>Additional Contact First Name if available</t>
  </si>
  <si>
    <t>CONTACT_PROF_TITLE</t>
  </si>
  <si>
    <t>Additional Professional Title if available</t>
  </si>
  <si>
    <t>CONTACT_TITLE_CD</t>
  </si>
  <si>
    <t>Additional Title Code if available</t>
  </si>
  <si>
    <t>Production Date MMDDCCYY</t>
  </si>
  <si>
    <t>The date (CCYYMM) that the file was produced.</t>
  </si>
  <si>
    <t xml:space="preserve">Email Flag Indicator </t>
  </si>
  <si>
    <t>0 - an email address is available for the record.</t>
  </si>
  <si>
    <t>EIN (Employer Identification Number)</t>
  </si>
  <si>
    <t>The Employer Identification Number of the business.</t>
  </si>
  <si>
    <t>Contact Gender Code</t>
  </si>
  <si>
    <t>Gender of contact.
M = Male
F = Female
Blank = Unknown</t>
  </si>
  <si>
    <t xml:space="preserve">Toll-Free Number - 800 Number </t>
  </si>
  <si>
    <t>The toll-free phone number of the business. (No hyphens or parentheses appear in this field.)</t>
  </si>
  <si>
    <t>Fax Number (Xxx-Xxx-Xxxx)</t>
  </si>
  <si>
    <t>Fax phone of business.  (No hyphens or parentheses appear in this field.)</t>
  </si>
  <si>
    <t>Grow/Shrink Business Indicator</t>
  </si>
  <si>
    <t>Indicates the business is growing or shrinking by more than 10% with employee size logic. 
+ = Growing
- = Shrinking
Blank = Neither</t>
  </si>
  <si>
    <t>Office Size Code</t>
  </si>
  <si>
    <t>This field indicates (in a range) how many professional individuals are associated with a firm record.  It can be used to estimate size in a different manner than employment size.  Available on a limited set of professional SIC codes only.
A  1 Professional
B  2 Professionals
C  3 Professionals
D  4 Professionals
E  5-9 Professionals
F  10+ Professionals</t>
  </si>
  <si>
    <t>Asset Size Flag</t>
  </si>
  <si>
    <t>Indicates if the sales volume is actually asset size.  For some lines of business (e.g., financial institutions), asset size is provided versus sales. 
Y = Yes
Blank = No</t>
  </si>
  <si>
    <t>Population Code</t>
  </si>
  <si>
    <t xml:space="preserve">The code for the size of the city in which the business is located.
1               1 -   24,999
5      25,000 -   49,999
6      50,000 -   99,999
7    100,000 - 249,999
8    250,000 - 499,999
9    500,000 + </t>
  </si>
  <si>
    <t>Ad Size Code</t>
  </si>
  <si>
    <t>The code which corresponds to the size of the business's ad in the yellow pages.
A    Regular Listing
B    Bold Listing
C    In-Column Space Ad
D    Display Ad</t>
  </si>
  <si>
    <t>Secondary Sic Code 3</t>
  </si>
  <si>
    <t>This field identifies an additional activity of the business. If there is no additional activity, this field will be blank.  Approximately 3% of the records in the database have 4 SIC Codes.</t>
  </si>
  <si>
    <t>Secondary Sic Code 3 Description</t>
  </si>
  <si>
    <t>Description of the third Standard Industrial Classification code</t>
  </si>
  <si>
    <t>Secondary Sic Code 4</t>
  </si>
  <si>
    <t>This field identifies an additional activity of the business. If there is no additional activity, this field will be blank.  Approximately 1% of the records in the database have 5 or more SIC Codes.</t>
  </si>
  <si>
    <t>Secondary Sic Code 4 Description</t>
  </si>
  <si>
    <t>Description of the fourth Standard Industrial Classification code</t>
  </si>
  <si>
    <t>Public Filing Indicator</t>
  </si>
  <si>
    <t>Indicates if the company is public.
Y = Yes
N = No</t>
  </si>
  <si>
    <t>Stock Exchange</t>
  </si>
  <si>
    <t>This code identifies the Stock Exchange where the business conducts trading activity
1 = NYSE
2 = ASE
3 = NASDAQ
9 = OTHER</t>
  </si>
  <si>
    <t>Wealth Code(Affluent Neighborhood Location )</t>
  </si>
  <si>
    <t>Indicates the business is located in a wealthy area.  This is derived from a proprietary model using census data
Blank = No
1 = Yes</t>
  </si>
  <si>
    <t>Square Footage Code</t>
  </si>
  <si>
    <t>Number Of Pcs</t>
  </si>
  <si>
    <t xml:space="preserve">The Number of Personal Computers at the business.
A = 0 - 1
B = 2 - 9
C = 10 - 29
D = 30 + </t>
  </si>
  <si>
    <t>Multi-Tenant Code</t>
  </si>
  <si>
    <t>The alpha code for the number of Businesses at a Multi-Tenant location.
A = 2 - 4
B = 5 - 9
C = 10 +</t>
  </si>
  <si>
    <t>Own/Lease Code</t>
  </si>
  <si>
    <t>Own/Lease information is gathered through Infogroup's telephone verification process.
O = Own
L = Lease
U = Unknown</t>
  </si>
  <si>
    <t>Small-Size Business Entrepreneur Indicator</t>
  </si>
  <si>
    <t>Indicates small business.
Y = Yes
N = No</t>
  </si>
  <si>
    <t>Indicates medium size business.
Y = Yes
N = No</t>
  </si>
  <si>
    <t>High Income Executives</t>
  </si>
  <si>
    <t>High Income Indicator
Y = Yes
N = No</t>
  </si>
  <si>
    <t>Female Owned Business Code</t>
  </si>
  <si>
    <t>Indicates whether the business is female owned.
Y = Yes
Blank = No</t>
  </si>
  <si>
    <t>Franchise Description</t>
  </si>
  <si>
    <t>The description of the franchise code</t>
  </si>
  <si>
    <t>FRO SIC</t>
  </si>
  <si>
    <t xml:space="preserve">The description of the category by which infoUSA assigned the "franchise" code. </t>
  </si>
  <si>
    <t>Yellow Page Code</t>
  </si>
  <si>
    <t>The code that identifies the primary Yellow Pages category</t>
  </si>
  <si>
    <t>Yellow Page Code 2</t>
  </si>
  <si>
    <t>The code that identifies the secondary Yellow Pages category</t>
  </si>
  <si>
    <t>Medium-Size Business Entrepreneur Indicator</t>
  </si>
  <si>
    <t>Score between 1-100 with higher score reflecting greater confidence</t>
  </si>
  <si>
    <t>A - ABI Number                                                                                      B - Company Name, Address (Contact and Phone help)                                  C - Company Name and Address with Company Name Emphasis                   D - Company Name and Address with Address Emphasis                           E - Contact and Address                                                                          F - Company Name and Phone                                                                               G - Company Name and Contact                                                               H - Contact and Phone                                                                                I - Address and Phone                                                                              J - Phone Only                                                                                           K - Contact Only                                                                                     L - New Business Match                                                                                   M- Suspect Company Name and Address</t>
  </si>
  <si>
    <t>Estimated Square Footage the business occupies. If the business is located in a strip mall, tower, mall, etc only the business' actual space is accounted for.                                                                                         A = 0 - 2,499                                                                                           B = 2,500 - 9,999                                                                                      C = 10,000 - 39,999                                                                                  D = 40,000+</t>
  </si>
  <si>
    <t>Secondary SIC Code #4</t>
  </si>
  <si>
    <t>Ethnic Code New</t>
  </si>
  <si>
    <t>Executive Ethnicity - See Ethnicity tab for decode.</t>
  </si>
  <si>
    <t>Language Code New</t>
  </si>
  <si>
    <t>Executive Language - See Language tab for decode.</t>
  </si>
  <si>
    <t xml:space="preserve">Depicts the type of transaction that occurred:
The first byte depicts the type of transaction that occurred on the primary sic code based on the primary yellow page heading.                                   A = NEW BUSINESS
V =VERIFY NO CHANGE
P= PHONE CHANGE
D =ADDRESS CHANGE
N= BUSINESS NAME CHANGE
E= ENHANCED RECORD
W =NEW TO DATABASE
B =BAMZ BLK ADD MZ CTY
K =FORMER BLANK ADDR
BLK =NON YELLOWPAGE REC
The second byte designates the type of change that was made to the record based on the secondary lines of business by some other data source.
A= NEW BUSINESS
B =TRUE BLANK ADDR
E= ENHANCED RECORD
K= FORMER BLANK ADDR
V =VERIFIED
C= VERIFIED W/CHANGE
9= SUPPRESSED-REACTIV
P =CHGD YELLOW PG PHN
H= ADD NEW BIZ RSRCH
L= NEW SIC 4 OLD RECD
T= TR MFG INT USE ONLY
BLK =NO UPDATE/UNKNOWN
</t>
  </si>
  <si>
    <t>UNKNOWN</t>
  </si>
  <si>
    <t>BLANK</t>
  </si>
  <si>
    <t>MULTI-ETHNIC</t>
  </si>
  <si>
    <t>ZZ</t>
  </si>
  <si>
    <t>ZIMBABWEAN</t>
  </si>
  <si>
    <t>ZW</t>
  </si>
  <si>
    <t>ZAMBIAN</t>
  </si>
  <si>
    <t>ZM</t>
  </si>
  <si>
    <t>SOUTH AFRICAN</t>
  </si>
  <si>
    <t>ZA</t>
  </si>
  <si>
    <t>ZULU</t>
  </si>
  <si>
    <t>Z8</t>
  </si>
  <si>
    <t>YEMENI</t>
  </si>
  <si>
    <t>YE</t>
  </si>
  <si>
    <t>XHOSA</t>
  </si>
  <si>
    <t>X5</t>
  </si>
  <si>
    <t>WESTERN SAMOAN</t>
  </si>
  <si>
    <t>WS</t>
  </si>
  <si>
    <t>WELSH</t>
  </si>
  <si>
    <t>W4</t>
  </si>
  <si>
    <t xml:space="preserve">VANUATUAN </t>
  </si>
  <si>
    <t>VU</t>
  </si>
  <si>
    <t>VIETNAMESE</t>
  </si>
  <si>
    <t>VN</t>
  </si>
  <si>
    <t>UZBEKISTANI</t>
  </si>
  <si>
    <t>UZ</t>
  </si>
  <si>
    <t>UGANDAN</t>
  </si>
  <si>
    <t>UG</t>
  </si>
  <si>
    <t>UKRAINIAN</t>
  </si>
  <si>
    <t>UA</t>
  </si>
  <si>
    <t>TANZANIAN</t>
  </si>
  <si>
    <t>TZ</t>
  </si>
  <si>
    <t>TURKISH</t>
  </si>
  <si>
    <t>TR</t>
  </si>
  <si>
    <t>TONGAN</t>
  </si>
  <si>
    <t>TO</t>
  </si>
  <si>
    <t>TUNISIAN</t>
  </si>
  <si>
    <t>TN</t>
  </si>
  <si>
    <t>TURKMENISTAN</t>
  </si>
  <si>
    <t>TM</t>
  </si>
  <si>
    <t>TAJIK (TAJIKISTAN)</t>
  </si>
  <si>
    <t>TJ</t>
  </si>
  <si>
    <t>THAI</t>
  </si>
  <si>
    <t>TH</t>
  </si>
  <si>
    <t>TOGO (TOGOLESE)</t>
  </si>
  <si>
    <t>TG</t>
  </si>
  <si>
    <t>CHAD</t>
  </si>
  <si>
    <t>TD</t>
  </si>
  <si>
    <t>TIBETAN</t>
  </si>
  <si>
    <t>T5</t>
  </si>
  <si>
    <t>TELUGAN</t>
  </si>
  <si>
    <t>T4</t>
  </si>
  <si>
    <t>SWAZILAND</t>
  </si>
  <si>
    <t>SZ</t>
  </si>
  <si>
    <t>SYRIAN</t>
  </si>
  <si>
    <t>SY</t>
  </si>
  <si>
    <t>SURINAMESE</t>
  </si>
  <si>
    <t>SR</t>
  </si>
  <si>
    <t>SOMALIAN</t>
  </si>
  <si>
    <t>SO</t>
  </si>
  <si>
    <t>SENEGALESE</t>
  </si>
  <si>
    <t>SN</t>
  </si>
  <si>
    <t>SIERRA LEONE</t>
  </si>
  <si>
    <t>SL</t>
  </si>
  <si>
    <t>SLOVAKIAN (SLOVAK)</t>
  </si>
  <si>
    <t>SK</t>
  </si>
  <si>
    <t>SLOVENIAN (SLOVENE)</t>
  </si>
  <si>
    <t>SI</t>
  </si>
  <si>
    <t>SWEDISH</t>
  </si>
  <si>
    <t>SE</t>
  </si>
  <si>
    <t>SUDANESE</t>
  </si>
  <si>
    <t>SD</t>
  </si>
  <si>
    <t>SEYCHELLES</t>
  </si>
  <si>
    <t>SC</t>
  </si>
  <si>
    <t>SAUDI</t>
  </si>
  <si>
    <t>SA</t>
  </si>
  <si>
    <t>SWAHILI</t>
  </si>
  <si>
    <t>S9</t>
  </si>
  <si>
    <t>SCOTTISH (SCOTCH)</t>
  </si>
  <si>
    <t>S3</t>
  </si>
  <si>
    <t>RUANDAN (RWANDAN)</t>
  </si>
  <si>
    <t>RW</t>
  </si>
  <si>
    <t>RUSSIAN</t>
  </si>
  <si>
    <t>RU</t>
  </si>
  <si>
    <t>ROMANIAN</t>
  </si>
  <si>
    <t>RO</t>
  </si>
  <si>
    <t>QATARI</t>
  </si>
  <si>
    <t>QA</t>
  </si>
  <si>
    <t>AFRICAN AMERICAN 95%+</t>
  </si>
  <si>
    <t>Q9</t>
  </si>
  <si>
    <t>AFRICAN AMERICAN 85%+</t>
  </si>
  <si>
    <t>Q8</t>
  </si>
  <si>
    <t>AFRICAN AMERICAN 75%+</t>
  </si>
  <si>
    <t>Q7</t>
  </si>
  <si>
    <t>AFRICAN AMERICAN 65%+</t>
  </si>
  <si>
    <t>Q6</t>
  </si>
  <si>
    <t>PORTUGUESE</t>
  </si>
  <si>
    <t>PT</t>
  </si>
  <si>
    <t>POLISH</t>
  </si>
  <si>
    <t>PL</t>
  </si>
  <si>
    <t>PAKISTANI</t>
  </si>
  <si>
    <t>PK</t>
  </si>
  <si>
    <t>FILIPINO (PHILIPPINE)</t>
  </si>
  <si>
    <t>PH</t>
  </si>
  <si>
    <t>PAPUA NEW GUINEAN</t>
  </si>
  <si>
    <t>PG</t>
  </si>
  <si>
    <t>PILI (PILIPINO)</t>
  </si>
  <si>
    <t>P5</t>
  </si>
  <si>
    <t>PERSIAN</t>
  </si>
  <si>
    <t>P4</t>
  </si>
  <si>
    <t>OTHER ASIAN</t>
  </si>
  <si>
    <t>O8</t>
  </si>
  <si>
    <t>NEW ZEALAND</t>
  </si>
  <si>
    <t>NZ</t>
  </si>
  <si>
    <t>NAURUAN</t>
  </si>
  <si>
    <t>NR</t>
  </si>
  <si>
    <t>NEPALESE</t>
  </si>
  <si>
    <t>NP</t>
  </si>
  <si>
    <t>NORWEGIAN</t>
  </si>
  <si>
    <t>NO</t>
  </si>
  <si>
    <t>DUTCH</t>
  </si>
  <si>
    <t>NL</t>
  </si>
  <si>
    <t>NIGERIAN</t>
  </si>
  <si>
    <t>NG</t>
  </si>
  <si>
    <t>NIGER</t>
  </si>
  <si>
    <t>NE</t>
  </si>
  <si>
    <t>NAMIBIAN</t>
  </si>
  <si>
    <t>NA</t>
  </si>
  <si>
    <t>NATIVE AMERICAN (AMERICAN INDIAN)</t>
  </si>
  <si>
    <t>N3</t>
  </si>
  <si>
    <t>MOZAMBIQUE (MOZAMBICAN)</t>
  </si>
  <si>
    <t>MZ</t>
  </si>
  <si>
    <t>MALAY (MALAYSIAN)</t>
  </si>
  <si>
    <t>MY</t>
  </si>
  <si>
    <t>MALAWIAN</t>
  </si>
  <si>
    <t>MW</t>
  </si>
  <si>
    <t>MALDIVIAN</t>
  </si>
  <si>
    <t>MV</t>
  </si>
  <si>
    <t>MALTESE</t>
  </si>
  <si>
    <t>MT</t>
  </si>
  <si>
    <t>MAURITANIAN</t>
  </si>
  <si>
    <t>MR</t>
  </si>
  <si>
    <t>MONGOLIAN</t>
  </si>
  <si>
    <t>MN</t>
  </si>
  <si>
    <t>MYANMAR (BURMA)</t>
  </si>
  <si>
    <t>MM</t>
  </si>
  <si>
    <t>MALIAN</t>
  </si>
  <si>
    <t>ML</t>
  </si>
  <si>
    <t>MACEDONIAN</t>
  </si>
  <si>
    <t>MK</t>
  </si>
  <si>
    <t>MADAGASCAR</t>
  </si>
  <si>
    <t>MG</t>
  </si>
  <si>
    <t>MOLDAVIAN (MOLDOVAN)</t>
  </si>
  <si>
    <t>MD</t>
  </si>
  <si>
    <t>MOROCCAN</t>
  </si>
  <si>
    <t>MA</t>
  </si>
  <si>
    <t>LIBYAN</t>
  </si>
  <si>
    <t>LY</t>
  </si>
  <si>
    <t>LATVIAN</t>
  </si>
  <si>
    <t>LV</t>
  </si>
  <si>
    <t>LUXEMBOURGIAN</t>
  </si>
  <si>
    <t>LU</t>
  </si>
  <si>
    <t>LITHUANIAN</t>
  </si>
  <si>
    <t>LT</t>
  </si>
  <si>
    <t>LESOTHO (BASOTHO)</t>
  </si>
  <si>
    <t>LS</t>
  </si>
  <si>
    <t>LIBERIAN</t>
  </si>
  <si>
    <t>LR</t>
  </si>
  <si>
    <t>SRI LANKAN (CEYLON)</t>
  </si>
  <si>
    <t>LK</t>
  </si>
  <si>
    <t>LIECHTENSTEIN</t>
  </si>
  <si>
    <t>LI</t>
  </si>
  <si>
    <t>LAOTIAN</t>
  </si>
  <si>
    <t>LA</t>
  </si>
  <si>
    <t>KAZAKH (KAZAKHSTAN)</t>
  </si>
  <si>
    <t>KZ</t>
  </si>
  <si>
    <t>KUWAITI</t>
  </si>
  <si>
    <t>KW</t>
  </si>
  <si>
    <t>COMOROS</t>
  </si>
  <si>
    <t>KM</t>
  </si>
  <si>
    <t>KHMER (KAMPUCHEAN, CAMBODIAN)</t>
  </si>
  <si>
    <t>KH</t>
  </si>
  <si>
    <t>KIRGHIZ (KYRGYZSTAN)</t>
  </si>
  <si>
    <t>KG</t>
  </si>
  <si>
    <t>KENYAN</t>
  </si>
  <si>
    <t>KE</t>
  </si>
  <si>
    <t>KURDISH</t>
  </si>
  <si>
    <t>K8</t>
  </si>
  <si>
    <t>KOREAN</t>
  </si>
  <si>
    <t>K5</t>
  </si>
  <si>
    <t>JAPANESE</t>
  </si>
  <si>
    <t>JP</t>
  </si>
  <si>
    <t>JEWISH</t>
  </si>
  <si>
    <t>J4</t>
  </si>
  <si>
    <t>ITALIAN</t>
  </si>
  <si>
    <t>IT</t>
  </si>
  <si>
    <t>ICELANDIC</t>
  </si>
  <si>
    <t>IS</t>
  </si>
  <si>
    <t>IRAQI</t>
  </si>
  <si>
    <t>IQ</t>
  </si>
  <si>
    <t>INDIAN</t>
  </si>
  <si>
    <t>IN</t>
  </si>
  <si>
    <t>MANX (ISLE OF MAN)</t>
  </si>
  <si>
    <t>IM</t>
  </si>
  <si>
    <t>IRISH</t>
  </si>
  <si>
    <t>IE</t>
  </si>
  <si>
    <t>INDONESIAN</t>
  </si>
  <si>
    <t>ID</t>
  </si>
  <si>
    <t>HUNGARIAN</t>
  </si>
  <si>
    <t>HU</t>
  </si>
  <si>
    <t>CROATIAN</t>
  </si>
  <si>
    <t>HR</t>
  </si>
  <si>
    <t>HISPANIC</t>
  </si>
  <si>
    <t>H5</t>
  </si>
  <si>
    <t>HAWAIIAN</t>
  </si>
  <si>
    <t>H3</t>
  </si>
  <si>
    <t>HAUSA</t>
  </si>
  <si>
    <t>H2</t>
  </si>
  <si>
    <t>GUYANA (GUYANESE)</t>
  </si>
  <si>
    <t>GY</t>
  </si>
  <si>
    <t>GUINEA-BISSAU</t>
  </si>
  <si>
    <t>GW</t>
  </si>
  <si>
    <t>GREEK</t>
  </si>
  <si>
    <t>GR</t>
  </si>
  <si>
    <t>EQUATORIAL GUINEA</t>
  </si>
  <si>
    <t>GQ</t>
  </si>
  <si>
    <t>GUINEAN</t>
  </si>
  <si>
    <t>GN</t>
  </si>
  <si>
    <t>GAMBIAN</t>
  </si>
  <si>
    <t>GM</t>
  </si>
  <si>
    <t>GHANAIAN</t>
  </si>
  <si>
    <t>GH</t>
  </si>
  <si>
    <t>GEORGIAN</t>
  </si>
  <si>
    <t>GE</t>
  </si>
  <si>
    <t>GABONESE</t>
  </si>
  <si>
    <t>GA</t>
  </si>
  <si>
    <t>FRENCH</t>
  </si>
  <si>
    <t>FR</t>
  </si>
  <si>
    <t>FIJIAN</t>
  </si>
  <si>
    <t>FJ</t>
  </si>
  <si>
    <t>FINNISH</t>
  </si>
  <si>
    <t>FI</t>
  </si>
  <si>
    <t>ETHIOPIAN</t>
  </si>
  <si>
    <t>ET</t>
  </si>
  <si>
    <t>EGYPTIAN</t>
  </si>
  <si>
    <t>EG</t>
  </si>
  <si>
    <t>ESTONIAN</t>
  </si>
  <si>
    <t>EE</t>
  </si>
  <si>
    <t>ENGLISH</t>
  </si>
  <si>
    <t>E5</t>
  </si>
  <si>
    <t>ALGERIAN</t>
  </si>
  <si>
    <t>DZ</t>
  </si>
  <si>
    <t>DANISH</t>
  </si>
  <si>
    <t>DK</t>
  </si>
  <si>
    <t>DJIBOUTIAN</t>
  </si>
  <si>
    <t>DJ</t>
  </si>
  <si>
    <t>GERMAN</t>
  </si>
  <si>
    <t>DE</t>
  </si>
  <si>
    <t>CZECH</t>
  </si>
  <si>
    <t>CZ</t>
  </si>
  <si>
    <t>SERBIAN</t>
  </si>
  <si>
    <t>CS</t>
  </si>
  <si>
    <t>CHINESE</t>
  </si>
  <si>
    <t>CN</t>
  </si>
  <si>
    <t>CAMEROONIAN</t>
  </si>
  <si>
    <t>CM</t>
  </si>
  <si>
    <t>IVORY COAST (COTE D'IVOIRE)</t>
  </si>
  <si>
    <t>CI</t>
  </si>
  <si>
    <t>SWISS</t>
  </si>
  <si>
    <t>CH</t>
  </si>
  <si>
    <t>CONGO</t>
  </si>
  <si>
    <t>CG</t>
  </si>
  <si>
    <t>CENTRAL AFRICAN REPUBLIC</t>
  </si>
  <si>
    <t>CF</t>
  </si>
  <si>
    <t>ZAIRIAN (DEMOCRATIC REPUBLIC OF THE CONGO)</t>
  </si>
  <si>
    <t>CD</t>
  </si>
  <si>
    <t>CHECHNIAN (CHECHNYAN)</t>
  </si>
  <si>
    <t>C5</t>
  </si>
  <si>
    <t>CARIBBEAN AFRICAN AMERICAN</t>
  </si>
  <si>
    <t>C3</t>
  </si>
  <si>
    <t>BYELORUSSIAN (BELARUSIAN)</t>
  </si>
  <si>
    <t>BY</t>
  </si>
  <si>
    <t>BOTSWANAN</t>
  </si>
  <si>
    <t>BW</t>
  </si>
  <si>
    <t>BHUTANESE</t>
  </si>
  <si>
    <t>BT</t>
  </si>
  <si>
    <t>BENINESE</t>
  </si>
  <si>
    <t>BJ</t>
  </si>
  <si>
    <t>BURUNDIAN</t>
  </si>
  <si>
    <t>BI</t>
  </si>
  <si>
    <t>BAHRAINI</t>
  </si>
  <si>
    <t>BH</t>
  </si>
  <si>
    <t>BULGARIAN</t>
  </si>
  <si>
    <t>BG</t>
  </si>
  <si>
    <t>BURKINA FASO</t>
  </si>
  <si>
    <t>BF</t>
  </si>
  <si>
    <t>BELGIAN</t>
  </si>
  <si>
    <t>BE</t>
  </si>
  <si>
    <t>BANGLADESH</t>
  </si>
  <si>
    <t>BD</t>
  </si>
  <si>
    <t>BOSNIAN</t>
  </si>
  <si>
    <t>BA</t>
  </si>
  <si>
    <t>AFRICAN (OTHER)</t>
  </si>
  <si>
    <t>B5</t>
  </si>
  <si>
    <t>BASQUE</t>
  </si>
  <si>
    <t>B3</t>
  </si>
  <si>
    <t>AZERB (AZERBAIJANI)</t>
  </si>
  <si>
    <t>AZ</t>
  </si>
  <si>
    <t>AUSTRALIAN</t>
  </si>
  <si>
    <t>AU</t>
  </si>
  <si>
    <t>AUSTRIAN</t>
  </si>
  <si>
    <t>AT</t>
  </si>
  <si>
    <t>ANGOLAN</t>
  </si>
  <si>
    <t>AO</t>
  </si>
  <si>
    <t>ARMENIAN</t>
  </si>
  <si>
    <t>AM</t>
  </si>
  <si>
    <t>ALBANIAN</t>
  </si>
  <si>
    <t>AL</t>
  </si>
  <si>
    <t>AFGHAN</t>
  </si>
  <si>
    <t>AF</t>
  </si>
  <si>
    <t>ASHANTI (ASANTE)</t>
  </si>
  <si>
    <t>A8</t>
  </si>
  <si>
    <t>ARAB</t>
  </si>
  <si>
    <t>A7</t>
  </si>
  <si>
    <t>ALEUT</t>
  </si>
  <si>
    <t>A4</t>
  </si>
  <si>
    <t>ETHNIC CODE NEW</t>
  </si>
  <si>
    <t>ZU</t>
  </si>
  <si>
    <t>ZH</t>
  </si>
  <si>
    <t>XH</t>
  </si>
  <si>
    <t>WALLOON (FLEMISH)</t>
  </si>
  <si>
    <t>WA</t>
  </si>
  <si>
    <t>VI</t>
  </si>
  <si>
    <t>UZBEK</t>
  </si>
  <si>
    <t>URDU</t>
  </si>
  <si>
    <t>UR</t>
  </si>
  <si>
    <t>TWI (ASHANTI)</t>
  </si>
  <si>
    <t>TW</t>
  </si>
  <si>
    <t>TSWANA (SETSWANA)</t>
  </si>
  <si>
    <t>TAGALOG</t>
  </si>
  <si>
    <t>TL</t>
  </si>
  <si>
    <t>TURKMEN</t>
  </si>
  <si>
    <t>TK</t>
  </si>
  <si>
    <t>TAJIK</t>
  </si>
  <si>
    <t>SW</t>
  </si>
  <si>
    <t>SV</t>
  </si>
  <si>
    <t>SOTHO (SESOTHO)</t>
  </si>
  <si>
    <t>ST</t>
  </si>
  <si>
    <t>SWAZI (SISWATI)</t>
  </si>
  <si>
    <t>SS</t>
  </si>
  <si>
    <t>SQ</t>
  </si>
  <si>
    <t>SOMALI</t>
  </si>
  <si>
    <t>SAMOAN</t>
  </si>
  <si>
    <t>SM</t>
  </si>
  <si>
    <t>SLOVENIAN</t>
  </si>
  <si>
    <t>SLOVAK (SLOVAKIAN)</t>
  </si>
  <si>
    <t>SINHALESE</t>
  </si>
  <si>
    <t>SERBO-CROATIAN</t>
  </si>
  <si>
    <t>SH</t>
  </si>
  <si>
    <t>PASHTO (PUSHTO)</t>
  </si>
  <si>
    <t>PS</t>
  </si>
  <si>
    <t>OROMO</t>
  </si>
  <si>
    <t>OM</t>
  </si>
  <si>
    <t>NEPALI</t>
  </si>
  <si>
    <t>BURMESE</t>
  </si>
  <si>
    <t>MALAY</t>
  </si>
  <si>
    <t>MS</t>
  </si>
  <si>
    <t>MOLDAVIAN</t>
  </si>
  <si>
    <t>MO</t>
  </si>
  <si>
    <t>MALAGASY</t>
  </si>
  <si>
    <t>LATVIAN (LETTISH)</t>
  </si>
  <si>
    <t>LAOTIAN (LAO)</t>
  </si>
  <si>
    <t>LO</t>
  </si>
  <si>
    <t>KIRGHIZ</t>
  </si>
  <si>
    <t>KY</t>
  </si>
  <si>
    <t>KU</t>
  </si>
  <si>
    <t>KO</t>
  </si>
  <si>
    <t>KHMER (CAMBODIAN)</t>
  </si>
  <si>
    <t>KAZAKH</t>
  </si>
  <si>
    <t>KK</t>
  </si>
  <si>
    <t>KA</t>
  </si>
  <si>
    <t>JA</t>
  </si>
  <si>
    <t>HY</t>
  </si>
  <si>
    <t>HINDI</t>
  </si>
  <si>
    <t>HI</t>
  </si>
  <si>
    <t>HEBREW</t>
  </si>
  <si>
    <t>HE</t>
  </si>
  <si>
    <t>HA</t>
  </si>
  <si>
    <t>G3</t>
  </si>
  <si>
    <t>FARSI (PERSIAN)</t>
  </si>
  <si>
    <t>FA</t>
  </si>
  <si>
    <t>EU</t>
  </si>
  <si>
    <t>SPANISH</t>
  </si>
  <si>
    <t>ES</t>
  </si>
  <si>
    <t>EN</t>
  </si>
  <si>
    <t>EL</t>
  </si>
  <si>
    <t>DZONGKHA</t>
  </si>
  <si>
    <t>DA</t>
  </si>
  <si>
    <t>COMORIAN</t>
  </si>
  <si>
    <t>C6</t>
  </si>
  <si>
    <t>BO</t>
  </si>
  <si>
    <t>BENGALI</t>
  </si>
  <si>
    <t>BN</t>
  </si>
  <si>
    <t>BANTU</t>
  </si>
  <si>
    <t>AZERBAIJANI (AZERI)</t>
  </si>
  <si>
    <t>ARABIC</t>
  </si>
  <si>
    <t>AR</t>
  </si>
  <si>
    <t>AMHARIC</t>
  </si>
  <si>
    <t>AFRIKAANS</t>
  </si>
  <si>
    <t>LANGUAGE CODE NEW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</si>
</sst>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
  </numFmts>
  <fonts count="49" x14ac:knownFonts="1">
    <font>
      <sz val="10"/>
      <name val="Arial"/>
    </font>
    <font>
      <sz val="11"/>
      <color theme="1"/>
      <name val="Calibri"/>
      <family val="2"/>
      <scheme val="minor"/>
    </font>
    <font>
      <sz val="8"/>
      <name val="Arial"/>
      <family val="2"/>
    </font>
    <font>
      <sz val="10"/>
      <name val="Arial"/>
      <family val="2"/>
    </font>
    <font>
      <b/>
      <sz val="10"/>
      <name val="Arial"/>
      <family val="2"/>
    </font>
    <font>
      <sz val="10"/>
      <color indexed="8"/>
      <name val="Arial"/>
      <family val="2"/>
    </font>
    <font>
      <b/>
      <sz val="10"/>
      <color indexed="8"/>
      <name val="Arial"/>
      <family val="2"/>
    </font>
    <font>
      <sz val="9"/>
      <name val="Arial"/>
      <family val="2"/>
    </font>
    <font>
      <vertAlign val="superscript"/>
      <sz val="10"/>
      <color indexed="8"/>
      <name val="Arial"/>
      <family val="2"/>
    </font>
    <font>
      <sz val="11"/>
      <color theme="1"/>
      <name val="Calibri"/>
      <family val="2"/>
      <scheme val="minor"/>
    </font>
    <font>
      <sz val="10"/>
      <color theme="1"/>
      <name val="Arial"/>
      <family val="2"/>
    </font>
    <font>
      <b/>
      <sz val="18"/>
      <color theme="3"/>
      <name val="Cambria"/>
      <family val="2"/>
      <scheme val="major"/>
    </font>
    <font>
      <sz val="10"/>
      <name val="Times New Roman"/>
      <family val="1"/>
    </font>
    <font>
      <b/>
      <sz val="10"/>
      <name val="Times New Roman"/>
      <family val="1"/>
    </font>
    <font>
      <sz val="11"/>
      <color indexed="8"/>
      <name val="Calibri"/>
      <family val="2"/>
    </font>
    <font>
      <sz val="11"/>
      <color indexed="9"/>
      <name val="Calibri"/>
      <family val="2"/>
    </font>
    <font>
      <sz val="10"/>
      <color theme="0"/>
      <name val="Arial"/>
      <family val="2"/>
    </font>
    <font>
      <sz val="11"/>
      <color indexed="20"/>
      <name val="Calibri"/>
      <family val="2"/>
    </font>
    <font>
      <sz val="10"/>
      <color rgb="FF9C0006"/>
      <name val="Arial"/>
      <family val="2"/>
    </font>
    <font>
      <b/>
      <sz val="11"/>
      <color indexed="52"/>
      <name val="Calibri"/>
      <family val="2"/>
    </font>
    <font>
      <b/>
      <sz val="10"/>
      <color rgb="FFFA7D00"/>
      <name val="Arial"/>
      <family val="2"/>
    </font>
    <font>
      <b/>
      <sz val="11"/>
      <color indexed="9"/>
      <name val="Calibri"/>
      <family val="2"/>
    </font>
    <font>
      <b/>
      <sz val="10"/>
      <color theme="0"/>
      <name val="Arial"/>
      <family val="2"/>
    </font>
    <font>
      <i/>
      <sz val="11"/>
      <color indexed="23"/>
      <name val="Calibri"/>
      <family val="2"/>
    </font>
    <font>
      <i/>
      <sz val="10"/>
      <color rgb="FF7F7F7F"/>
      <name val="Arial"/>
      <family val="2"/>
    </font>
    <font>
      <sz val="11"/>
      <color indexed="17"/>
      <name val="Calibri"/>
      <family val="2"/>
    </font>
    <font>
      <sz val="10"/>
      <color rgb="FF006100"/>
      <name val="Arial"/>
      <family val="2"/>
    </font>
    <font>
      <b/>
      <sz val="12"/>
      <name val="Arial"/>
      <family val="2"/>
    </font>
    <font>
      <b/>
      <sz val="15"/>
      <color indexed="56"/>
      <name val="Calibri"/>
      <family val="2"/>
    </font>
    <font>
      <b/>
      <sz val="15"/>
      <color theme="3"/>
      <name val="Arial"/>
      <family val="2"/>
    </font>
    <font>
      <b/>
      <sz val="13"/>
      <color indexed="56"/>
      <name val="Calibri"/>
      <family val="2"/>
    </font>
    <font>
      <b/>
      <sz val="13"/>
      <color theme="3"/>
      <name val="Arial"/>
      <family val="2"/>
    </font>
    <font>
      <b/>
      <sz val="11"/>
      <color indexed="56"/>
      <name val="Calibri"/>
      <family val="2"/>
    </font>
    <font>
      <b/>
      <sz val="11"/>
      <color theme="3"/>
      <name val="Arial"/>
      <family val="2"/>
    </font>
    <font>
      <sz val="11"/>
      <color indexed="62"/>
      <name val="Calibri"/>
      <family val="2"/>
    </font>
    <font>
      <sz val="10"/>
      <color rgb="FF3F3F76"/>
      <name val="Arial"/>
      <family val="2"/>
    </font>
    <font>
      <sz val="11"/>
      <color indexed="52"/>
      <name val="Calibri"/>
      <family val="2"/>
    </font>
    <font>
      <sz val="10"/>
      <color rgb="FFFA7D00"/>
      <name val="Arial"/>
      <family val="2"/>
    </font>
    <font>
      <sz val="11"/>
      <color indexed="60"/>
      <name val="Calibri"/>
      <family val="2"/>
    </font>
    <font>
      <sz val="10"/>
      <color rgb="FF9C6500"/>
      <name val="Arial"/>
      <family val="2"/>
    </font>
    <font>
      <b/>
      <i/>
      <sz val="16"/>
      <name val="Helv"/>
    </font>
    <font>
      <b/>
      <sz val="11"/>
      <color indexed="63"/>
      <name val="Calibri"/>
      <family val="2"/>
    </font>
    <font>
      <b/>
      <sz val="10"/>
      <color rgb="FF3F3F3F"/>
      <name val="Arial"/>
      <family val="2"/>
    </font>
    <font>
      <sz val="10"/>
      <name val="MS Sans Serif"/>
      <family val="2"/>
    </font>
    <font>
      <b/>
      <sz val="18"/>
      <color indexed="56"/>
      <name val="Cambria"/>
      <family val="2"/>
    </font>
    <font>
      <b/>
      <sz val="11"/>
      <color indexed="8"/>
      <name val="Calibri"/>
      <family val="2"/>
    </font>
    <font>
      <b/>
      <sz val="10"/>
      <color theme="1"/>
      <name val="Arial"/>
      <family val="2"/>
    </font>
    <font>
      <sz val="11"/>
      <color indexed="10"/>
      <name val="Calibri"/>
      <family val="2"/>
    </font>
    <font>
      <sz val="10"/>
      <color rgb="FFFF0000"/>
      <name val="Arial"/>
      <family val="2"/>
    </font>
  </fonts>
  <fills count="6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4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patternFill>
    </fill>
    <fill>
      <patternFill patternType="solid">
        <fgColor indexed="26"/>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99">
    <xf numFmtId="0" fontId="0"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39" borderId="0" applyNumberFormat="0" applyBorder="0" applyAlignment="0" applyProtection="0"/>
    <xf numFmtId="0" fontId="14" fillId="39" borderId="0" applyNumberFormat="0" applyBorder="0" applyAlignment="0" applyProtection="0"/>
    <xf numFmtId="0" fontId="10" fillId="1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0" fillId="1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0" fillId="23"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0" fillId="27"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0" fillId="31"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0" fillId="35"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0" fillId="16"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0" fillId="20"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0" fillId="2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0" fillId="28"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0" fillId="32"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0" fillId="36"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6" fillId="17"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6" fillId="21"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6" fillId="25"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6" fillId="29"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6" fillId="33"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6" fillId="37"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6" fillId="14"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6" fillId="18"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6" fillId="22"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6" fillId="26"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6" fillId="3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6" fillId="34"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8" fillId="8"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9" fillId="57" borderId="15" applyNumberFormat="0" applyAlignment="0" applyProtection="0"/>
    <xf numFmtId="0" fontId="19" fillId="57" borderId="15" applyNumberFormat="0" applyAlignment="0" applyProtection="0"/>
    <xf numFmtId="0" fontId="20" fillId="11" borderId="7"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19" fillId="57" borderId="15" applyNumberFormat="0" applyAlignment="0" applyProtection="0"/>
    <xf numFmtId="0" fontId="21" fillId="58" borderId="16" applyNumberFormat="0" applyAlignment="0" applyProtection="0"/>
    <xf numFmtId="0" fontId="21" fillId="58" borderId="16" applyNumberFormat="0" applyAlignment="0" applyProtection="0"/>
    <xf numFmtId="0" fontId="22" fillId="12" borderId="10"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1" fillId="58" borderId="16"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6" fillId="7"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38" fontId="2" fillId="3" borderId="0" applyNumberFormat="0" applyBorder="0" applyAlignment="0" applyProtection="0"/>
    <xf numFmtId="0" fontId="27" fillId="0" borderId="17" applyNumberFormat="0" applyAlignment="0" applyProtection="0">
      <alignment horizontal="left" vertical="center"/>
    </xf>
    <xf numFmtId="0" fontId="27" fillId="0" borderId="18">
      <alignment horizontal="left" vertical="center"/>
    </xf>
    <xf numFmtId="0" fontId="28" fillId="0" borderId="19" applyNumberFormat="0" applyFill="0" applyAlignment="0" applyProtection="0"/>
    <xf numFmtId="0" fontId="28" fillId="0" borderId="19" applyNumberFormat="0" applyFill="0" applyAlignment="0" applyProtection="0"/>
    <xf numFmtId="0" fontId="29" fillId="0" borderId="4"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1" fillId="0" borderId="5"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0" fillId="0" borderId="20"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3" fillId="0" borderId="6"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10" fontId="2" fillId="59" borderId="1" applyNumberFormat="0" applyBorder="0" applyAlignment="0" applyProtection="0"/>
    <xf numFmtId="0" fontId="34" fillId="44" borderId="15" applyNumberFormat="0" applyAlignment="0" applyProtection="0"/>
    <xf numFmtId="0" fontId="34" fillId="44" borderId="15" applyNumberFormat="0" applyAlignment="0" applyProtection="0"/>
    <xf numFmtId="0" fontId="35" fillId="10" borderId="7"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4" fillId="44" borderId="15" applyNumberFormat="0" applyAlignment="0" applyProtection="0"/>
    <xf numFmtId="0" fontId="36" fillId="0" borderId="22" applyNumberFormat="0" applyFill="0" applyAlignment="0" applyProtection="0"/>
    <xf numFmtId="0" fontId="36" fillId="0" borderId="22" applyNumberFormat="0" applyFill="0" applyAlignment="0" applyProtection="0"/>
    <xf numFmtId="0" fontId="37" fillId="0" borderId="9"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8" fillId="60" borderId="0" applyNumberFormat="0" applyBorder="0" applyAlignment="0" applyProtection="0"/>
    <xf numFmtId="0" fontId="38" fillId="60" borderId="0" applyNumberFormat="0" applyBorder="0" applyAlignment="0" applyProtection="0"/>
    <xf numFmtId="0" fontId="39" fillId="9"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164" fontId="40"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13" borderId="11"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5" fillId="13" borderId="11"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14" fillId="61" borderId="23" applyNumberFormat="0" applyFont="0" applyAlignment="0" applyProtection="0"/>
    <xf numFmtId="0" fontId="5" fillId="13" borderId="11" applyNumberFormat="0" applyFont="0" applyAlignment="0" applyProtection="0"/>
    <xf numFmtId="0" fontId="5" fillId="13" borderId="11" applyNumberFormat="0" applyFont="0" applyAlignment="0" applyProtection="0"/>
    <xf numFmtId="0" fontId="41" fillId="57" borderId="24" applyNumberFormat="0" applyAlignment="0" applyProtection="0"/>
    <xf numFmtId="0" fontId="41" fillId="57" borderId="24" applyNumberFormat="0" applyAlignment="0" applyProtection="0"/>
    <xf numFmtId="0" fontId="42" fillId="11" borderId="8"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0" fontId="41" fillId="57" borderId="24" applyNumberFormat="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3" fillId="0" borderId="0" applyNumberFormat="0" applyFont="0" applyFill="0" applyBorder="0" applyAlignment="0" applyProtection="0">
      <alignment horizontal="left"/>
    </xf>
    <xf numFmtId="0" fontId="44"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xf numFmtId="0" fontId="45" fillId="0" borderId="25" applyNumberFormat="0" applyFill="0" applyAlignment="0" applyProtection="0"/>
    <xf numFmtId="0" fontId="45" fillId="0" borderId="25" applyNumberFormat="0" applyFill="0" applyAlignment="0" applyProtection="0"/>
    <xf numFmtId="0" fontId="46" fillId="0" borderId="12"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cellStyleXfs>
  <cellXfs count="110">
    <xf numFmtId="0" fontId="0" fillId="0" borderId="0" xfId="0"/>
    <xf numFmtId="0" fontId="4" fillId="0" borderId="0" xfId="0" applyFont="1"/>
    <xf numFmtId="0" fontId="4" fillId="0" borderId="0" xfId="0" applyFont="1" applyAlignment="1">
      <alignment horizontal="center"/>
    </xf>
    <xf numFmtId="0" fontId="4" fillId="0" borderId="1" xfId="0" applyFont="1" applyBorder="1" applyAlignment="1">
      <alignment horizontal="left"/>
    </xf>
    <xf numFmtId="0" fontId="4" fillId="0" borderId="0" xfId="0" applyFont="1" applyAlignment="1">
      <alignment wrapText="1"/>
    </xf>
    <xf numFmtId="0" fontId="5" fillId="2" borderId="1" xfId="0" applyFont="1" applyFill="1" applyBorder="1" applyAlignment="1">
      <alignment vertical="top" wrapText="1"/>
    </xf>
    <xf numFmtId="0" fontId="5" fillId="0" borderId="1" xfId="0" applyFont="1" applyFill="1" applyBorder="1" applyAlignment="1">
      <alignment vertical="top" wrapText="1"/>
    </xf>
    <xf numFmtId="0" fontId="5" fillId="2" borderId="1" xfId="0" applyFont="1" applyFill="1" applyBorder="1" applyAlignment="1">
      <alignment horizontal="left" vertical="top" wrapText="1"/>
    </xf>
    <xf numFmtId="0" fontId="3" fillId="0" borderId="1" xfId="0" applyFont="1" applyFill="1" applyBorder="1" applyAlignment="1">
      <alignment horizontal="left"/>
    </xf>
    <xf numFmtId="0" fontId="7" fillId="0" borderId="1" xfId="0" applyFont="1" applyFill="1" applyBorder="1"/>
    <xf numFmtId="0" fontId="3" fillId="0" borderId="1" xfId="0" applyFont="1" applyFill="1" applyBorder="1" applyAlignment="1">
      <alignment horizontal="left" wrapText="1"/>
    </xf>
    <xf numFmtId="0" fontId="4" fillId="0" borderId="0" xfId="0" applyFont="1" applyAlignment="1">
      <alignment vertical="top"/>
    </xf>
    <xf numFmtId="0" fontId="4" fillId="0" borderId="0" xfId="0" applyFont="1" applyBorder="1" applyAlignment="1">
      <alignment horizontal="center"/>
    </xf>
    <xf numFmtId="0" fontId="4" fillId="0" borderId="0" xfId="0" applyFont="1" applyBorder="1"/>
    <xf numFmtId="0" fontId="5" fillId="2" borderId="1" xfId="0" applyFont="1" applyFill="1" applyBorder="1" applyAlignment="1">
      <alignment horizontal="center" vertical="top" wrapText="1"/>
    </xf>
    <xf numFmtId="0" fontId="5" fillId="2" borderId="1" xfId="0" applyFont="1" applyFill="1" applyBorder="1" applyAlignment="1">
      <alignment horizontal="left" wrapText="1"/>
    </xf>
    <xf numFmtId="0" fontId="5" fillId="0" borderId="1" xfId="0" applyFont="1" applyFill="1" applyBorder="1" applyAlignment="1">
      <alignment horizontal="center" vertical="top" wrapText="1"/>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vertical="top"/>
    </xf>
    <xf numFmtId="0" fontId="3" fillId="0" borderId="1" xfId="0" applyFont="1" applyBorder="1" applyAlignment="1">
      <alignment horizontal="center" vertical="top"/>
    </xf>
    <xf numFmtId="0" fontId="3" fillId="0" borderId="1" xfId="0" applyFont="1" applyBorder="1" applyAlignment="1">
      <alignment vertical="top" wrapText="1"/>
    </xf>
    <xf numFmtId="0" fontId="5" fillId="2" borderId="2" xfId="0" applyFont="1" applyFill="1" applyBorder="1" applyAlignment="1">
      <alignment vertical="top" wrapText="1"/>
    </xf>
    <xf numFmtId="0" fontId="5" fillId="0" borderId="1" xfId="0" applyFont="1" applyFill="1" applyBorder="1" applyAlignment="1">
      <alignment horizontal="left" vertical="top" wrapText="1"/>
    </xf>
    <xf numFmtId="0" fontId="6" fillId="3" borderId="1" xfId="0" applyFont="1" applyFill="1" applyBorder="1" applyAlignment="1">
      <alignment horizontal="center"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4" fillId="0" borderId="0" xfId="0" applyFont="1" applyBorder="1" applyAlignment="1">
      <alignment horizontal="right" wrapText="1"/>
    </xf>
    <xf numFmtId="0" fontId="4" fillId="0" borderId="0" xfId="0" applyFont="1" applyBorder="1" applyAlignment="1">
      <alignment wrapText="1"/>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4" fillId="0" borderId="0" xfId="0" applyFont="1" applyFill="1"/>
    <xf numFmtId="0" fontId="3" fillId="0" borderId="1" xfId="0" applyFont="1" applyFill="1" applyBorder="1" applyAlignment="1">
      <alignment vertical="top" wrapText="1"/>
    </xf>
    <xf numFmtId="0" fontId="3" fillId="0" borderId="1" xfId="0" applyFont="1" applyFill="1" applyBorder="1" applyAlignment="1">
      <alignment vertical="top"/>
    </xf>
    <xf numFmtId="0" fontId="3" fillId="0" borderId="1" xfId="0" applyFont="1" applyFill="1" applyBorder="1" applyAlignment="1">
      <alignment horizontal="center" vertical="top"/>
    </xf>
    <xf numFmtId="0" fontId="4" fillId="0" borderId="0" xfId="0" applyFont="1" applyFill="1" applyAlignment="1">
      <alignment vertical="top"/>
    </xf>
    <xf numFmtId="0" fontId="3" fillId="0" borderId="1" xfId="2" applyFont="1" applyFill="1" applyBorder="1" applyAlignment="1">
      <alignment vertical="top"/>
    </xf>
    <xf numFmtId="0" fontId="5" fillId="0" borderId="1" xfId="2" applyFont="1" applyFill="1" applyBorder="1" applyAlignment="1">
      <alignment horizontal="center" vertical="top" wrapText="1"/>
    </xf>
    <xf numFmtId="0" fontId="3" fillId="0" borderId="1" xfId="2" applyFont="1" applyFill="1" applyBorder="1" applyAlignment="1">
      <alignment horizontal="center" vertical="top"/>
    </xf>
    <xf numFmtId="0" fontId="3" fillId="0" borderId="1" xfId="2" applyFont="1" applyFill="1" applyBorder="1" applyAlignment="1">
      <alignment vertical="top" wrapText="1"/>
    </xf>
    <xf numFmtId="0" fontId="5" fillId="0" borderId="1" xfId="2" applyFont="1" applyFill="1" applyBorder="1" applyAlignment="1">
      <alignment vertical="top" wrapText="1"/>
    </xf>
    <xf numFmtId="0" fontId="3" fillId="0" borderId="1" xfId="2" applyFont="1" applyFill="1" applyBorder="1"/>
    <xf numFmtId="0" fontId="4" fillId="0" borderId="1" xfId="0" applyFont="1" applyBorder="1" applyAlignment="1">
      <alignment wrapText="1"/>
    </xf>
    <xf numFmtId="0" fontId="10" fillId="6" borderId="3" xfId="0" applyFont="1" applyFill="1" applyBorder="1" applyProtection="1">
      <protection locked="0"/>
    </xf>
    <xf numFmtId="0" fontId="10" fillId="6" borderId="3" xfId="0" applyFont="1" applyFill="1" applyBorder="1" applyAlignment="1" applyProtection="1">
      <alignment horizontal="center" vertical="top"/>
      <protection locked="0"/>
    </xf>
    <xf numFmtId="0" fontId="10" fillId="6" borderId="3" xfId="2" applyFont="1" applyFill="1" applyBorder="1" applyAlignment="1" applyProtection="1">
      <alignment horizontal="left" vertical="top" wrapText="1"/>
      <protection locked="0"/>
    </xf>
    <xf numFmtId="0" fontId="10" fillId="6" borderId="1" xfId="0" applyFont="1" applyFill="1" applyBorder="1" applyProtection="1">
      <protection locked="0"/>
    </xf>
    <xf numFmtId="0" fontId="10" fillId="6" borderId="1" xfId="0" applyFont="1" applyFill="1" applyBorder="1" applyAlignment="1" applyProtection="1">
      <alignment horizontal="center" vertical="top"/>
      <protection locked="0"/>
    </xf>
    <xf numFmtId="0" fontId="10" fillId="6" borderId="1" xfId="0" applyFont="1" applyFill="1" applyBorder="1" applyAlignment="1" applyProtection="1">
      <alignment horizontal="justify" vertical="top"/>
      <protection locked="0"/>
    </xf>
    <xf numFmtId="0" fontId="10" fillId="6" borderId="1" xfId="2" applyFont="1" applyFill="1" applyBorder="1" applyAlignment="1" applyProtection="1">
      <alignment horizontal="left" vertical="top" wrapText="1"/>
      <protection locked="0"/>
    </xf>
    <xf numFmtId="3" fontId="10" fillId="6" borderId="1" xfId="2" applyNumberFormat="1" applyFont="1" applyFill="1" applyBorder="1" applyAlignment="1" applyProtection="1">
      <alignment horizontal="left" vertical="top" wrapText="1"/>
      <protection locked="0"/>
    </xf>
    <xf numFmtId="3" fontId="10" fillId="6" borderId="1" xfId="2" applyNumberFormat="1" applyFont="1" applyFill="1" applyBorder="1" applyAlignment="1">
      <alignment vertical="top" wrapText="1"/>
    </xf>
    <xf numFmtId="0" fontId="10" fillId="6" borderId="1" xfId="6" applyFont="1" applyFill="1" applyBorder="1" applyAlignment="1">
      <alignment horizontal="left" vertical="top" wrapText="1"/>
    </xf>
    <xf numFmtId="0" fontId="10" fillId="6" borderId="3" xfId="2" applyFont="1" applyFill="1" applyBorder="1" applyAlignment="1" applyProtection="1">
      <alignment horizontal="justify" vertical="top"/>
      <protection locked="0"/>
    </xf>
    <xf numFmtId="0" fontId="10" fillId="6" borderId="3" xfId="2" applyFont="1" applyFill="1" applyBorder="1" applyAlignment="1" applyProtection="1">
      <alignment vertical="top" wrapText="1"/>
      <protection locked="0"/>
    </xf>
    <xf numFmtId="0" fontId="10" fillId="6" borderId="1" xfId="2" applyFont="1" applyFill="1" applyBorder="1" applyAlignment="1" applyProtection="1">
      <alignment horizontal="justify" vertical="top"/>
      <protection locked="0"/>
    </xf>
    <xf numFmtId="0" fontId="10" fillId="6" borderId="1" xfId="1" applyFont="1" applyFill="1" applyBorder="1" applyAlignment="1">
      <alignment horizontal="justify" vertical="top"/>
    </xf>
    <xf numFmtId="0" fontId="10" fillId="6" borderId="1" xfId="0" applyFont="1" applyFill="1" applyBorder="1"/>
    <xf numFmtId="0" fontId="10" fillId="6" borderId="1" xfId="1" applyFont="1" applyFill="1" applyBorder="1" applyAlignment="1">
      <alignment horizontal="center" vertical="top"/>
    </xf>
    <xf numFmtId="0" fontId="10" fillId="6" borderId="1" xfId="5" applyFont="1" applyFill="1" applyBorder="1" applyAlignment="1">
      <alignment horizontal="left" vertical="top" wrapText="1"/>
    </xf>
    <xf numFmtId="0" fontId="10" fillId="6" borderId="1" xfId="1" applyFont="1" applyFill="1" applyBorder="1" applyAlignment="1">
      <alignment horizontal="justify" vertical="top" wrapText="1"/>
    </xf>
    <xf numFmtId="3" fontId="10" fillId="6" borderId="1" xfId="18" applyNumberFormat="1" applyFont="1" applyFill="1" applyBorder="1" applyAlignment="1">
      <alignment vertical="top" wrapText="1"/>
    </xf>
    <xf numFmtId="0" fontId="10" fillId="6" borderId="1" xfId="19" applyFont="1" applyFill="1" applyBorder="1" applyAlignment="1">
      <alignment horizontal="left" vertical="top" wrapText="1"/>
    </xf>
    <xf numFmtId="3" fontId="10" fillId="6" borderId="1" xfId="20" applyNumberFormat="1" applyFont="1" applyFill="1" applyBorder="1" applyAlignment="1">
      <alignment horizontal="left" vertical="top" wrapText="1"/>
    </xf>
    <xf numFmtId="3" fontId="10" fillId="6" borderId="1" xfId="7" applyNumberFormat="1" applyFont="1" applyFill="1" applyBorder="1" applyAlignment="1">
      <alignment horizontal="left" vertical="top" wrapText="1"/>
    </xf>
    <xf numFmtId="3" fontId="10" fillId="6" borderId="1" xfId="8" applyNumberFormat="1" applyFont="1" applyFill="1" applyBorder="1" applyAlignment="1">
      <alignment horizontal="left" vertical="top" wrapText="1"/>
    </xf>
    <xf numFmtId="3" fontId="10" fillId="6" borderId="1" xfId="9" applyNumberFormat="1" applyFont="1" applyFill="1" applyBorder="1" applyAlignment="1">
      <alignment horizontal="left" vertical="top" wrapText="1"/>
    </xf>
    <xf numFmtId="3" fontId="10" fillId="6" borderId="1" xfId="3" applyNumberFormat="1" applyFont="1" applyFill="1" applyBorder="1" applyAlignment="1">
      <alignment horizontal="left" vertical="top" wrapText="1"/>
    </xf>
    <xf numFmtId="0" fontId="10" fillId="6" borderId="1" xfId="2" applyFont="1" applyFill="1" applyBorder="1" applyAlignment="1">
      <alignment vertical="top" wrapText="1"/>
    </xf>
    <xf numFmtId="3" fontId="10" fillId="6" borderId="1" xfId="4" applyNumberFormat="1" applyFont="1" applyFill="1" applyBorder="1" applyAlignment="1">
      <alignment horizontal="left" vertical="top" wrapText="1"/>
    </xf>
    <xf numFmtId="3" fontId="10" fillId="6" borderId="1" xfId="10" applyNumberFormat="1" applyFont="1" applyFill="1" applyBorder="1" applyAlignment="1">
      <alignment horizontal="left" vertical="top" wrapText="1"/>
    </xf>
    <xf numFmtId="0" fontId="10" fillId="6" borderId="1" xfId="13" applyFont="1" applyFill="1" applyBorder="1" applyAlignment="1">
      <alignment vertical="top" wrapText="1"/>
    </xf>
    <xf numFmtId="0" fontId="10" fillId="6" borderId="1" xfId="0" applyFont="1" applyFill="1" applyBorder="1" applyAlignment="1">
      <alignment wrapText="1"/>
    </xf>
    <xf numFmtId="0" fontId="10" fillId="6" borderId="1" xfId="11" applyFont="1" applyFill="1" applyBorder="1" applyAlignment="1">
      <alignment vertical="top" wrapText="1"/>
    </xf>
    <xf numFmtId="0" fontId="10" fillId="6" borderId="1" xfId="12" applyFont="1" applyFill="1" applyBorder="1" applyAlignment="1">
      <alignment horizontal="left" vertical="top" wrapText="1"/>
    </xf>
    <xf numFmtId="0" fontId="10" fillId="6" borderId="1" xfId="14" applyFont="1" applyFill="1" applyBorder="1" applyAlignment="1">
      <alignment horizontal="left" vertical="top" wrapText="1"/>
    </xf>
    <xf numFmtId="0" fontId="10" fillId="6" borderId="1" xfId="15" applyFont="1" applyFill="1" applyBorder="1" applyAlignment="1">
      <alignment horizontal="left" vertical="top" wrapText="1"/>
    </xf>
    <xf numFmtId="0" fontId="10" fillId="6" borderId="1" xfId="16" applyFont="1" applyFill="1" applyBorder="1" applyAlignment="1">
      <alignment horizontal="left" vertical="top" wrapText="1"/>
    </xf>
    <xf numFmtId="0" fontId="10" fillId="6" borderId="1" xfId="0" applyFont="1" applyFill="1" applyBorder="1" applyAlignment="1" applyProtection="1">
      <alignment horizontal="left" vertical="center" wrapText="1"/>
      <protection locked="0"/>
    </xf>
    <xf numFmtId="0" fontId="10" fillId="6" borderId="2" xfId="0" applyFont="1" applyFill="1" applyBorder="1" applyAlignment="1" applyProtection="1">
      <alignment horizontal="justify" vertical="top"/>
      <protection locked="0"/>
    </xf>
    <xf numFmtId="0" fontId="10" fillId="6" borderId="2" xfId="0" applyFont="1" applyFill="1" applyBorder="1" applyProtection="1">
      <protection locked="0"/>
    </xf>
    <xf numFmtId="0" fontId="10" fillId="6" borderId="2" xfId="0" applyFont="1" applyFill="1" applyBorder="1" applyAlignment="1" applyProtection="1">
      <alignment horizontal="center" vertical="top"/>
      <protection locked="0"/>
    </xf>
    <xf numFmtId="0" fontId="10" fillId="6" borderId="1" xfId="1" applyFont="1" applyFill="1" applyBorder="1" applyAlignment="1" applyProtection="1">
      <alignment horizontal="center" vertical="top"/>
      <protection locked="0"/>
    </xf>
    <xf numFmtId="0" fontId="10" fillId="6" borderId="1" xfId="17" applyFont="1" applyFill="1" applyBorder="1" applyAlignment="1" applyProtection="1">
      <alignment horizontal="left" vertical="top" wrapText="1"/>
      <protection locked="0"/>
    </xf>
    <xf numFmtId="0" fontId="4" fillId="0" borderId="1" xfId="0" applyFont="1" applyBorder="1" applyAlignment="1" applyProtection="1">
      <alignment wrapText="1"/>
      <protection locked="0"/>
    </xf>
    <xf numFmtId="0" fontId="10" fillId="6" borderId="2" xfId="0" applyFont="1" applyFill="1" applyBorder="1" applyAlignment="1" applyProtection="1">
      <alignment horizontal="left" vertical="center" wrapText="1"/>
      <protection locked="0"/>
    </xf>
    <xf numFmtId="0" fontId="3" fillId="6" borderId="1" xfId="0" applyFont="1" applyFill="1" applyBorder="1" applyAlignment="1">
      <alignment vertical="top"/>
    </xf>
    <xf numFmtId="0" fontId="4" fillId="6" borderId="1" xfId="0" applyFont="1" applyFill="1" applyBorder="1" applyAlignment="1">
      <alignment horizontal="center" vertical="top"/>
    </xf>
    <xf numFmtId="0" fontId="4" fillId="6" borderId="1" xfId="0" applyFont="1" applyFill="1" applyBorder="1" applyAlignment="1" applyProtection="1">
      <alignment horizontal="center" vertical="top"/>
      <protection locked="0"/>
    </xf>
    <xf numFmtId="0" fontId="3" fillId="6" borderId="1" xfId="0" applyFont="1" applyFill="1" applyBorder="1" applyAlignment="1" applyProtection="1">
      <alignment wrapText="1"/>
      <protection locked="0"/>
    </xf>
    <xf numFmtId="0" fontId="3" fillId="6" borderId="1" xfId="0" applyFont="1" applyFill="1" applyBorder="1" applyAlignment="1">
      <alignment wrapText="1"/>
    </xf>
    <xf numFmtId="0" fontId="3" fillId="6" borderId="1" xfId="0" applyFont="1" applyFill="1" applyBorder="1" applyAlignment="1" applyProtection="1">
      <alignment horizontal="center" vertical="top"/>
      <protection locked="0"/>
    </xf>
    <xf numFmtId="0" fontId="3" fillId="6" borderId="1" xfId="0" applyFont="1" applyFill="1" applyBorder="1" applyAlignment="1">
      <alignment horizontal="center" vertical="top"/>
    </xf>
    <xf numFmtId="0" fontId="12" fillId="0" borderId="1" xfId="2" applyFont="1" applyBorder="1" applyAlignment="1">
      <alignment horizontal="left" vertical="top" wrapText="1"/>
    </xf>
    <xf numFmtId="0" fontId="12" fillId="0" borderId="0" xfId="2" applyFont="1" applyAlignment="1">
      <alignment vertical="top"/>
    </xf>
    <xf numFmtId="0" fontId="12" fillId="0" borderId="0" xfId="2" applyFont="1"/>
    <xf numFmtId="0" fontId="3" fillId="0" borderId="1" xfId="0" applyFont="1" applyBorder="1" applyAlignment="1">
      <alignment vertical="top" wrapText="1"/>
    </xf>
    <xf numFmtId="0" fontId="12" fillId="0" borderId="1" xfId="2" applyFont="1" applyBorder="1" applyAlignment="1">
      <alignment horizontal="center" vertical="top" wrapText="1"/>
    </xf>
    <xf numFmtId="0" fontId="12" fillId="0" borderId="1" xfId="2" applyFont="1" applyFill="1" applyBorder="1" applyAlignment="1">
      <alignment horizontal="left" vertical="top" wrapText="1"/>
    </xf>
    <xf numFmtId="0" fontId="12" fillId="0" borderId="1" xfId="2" applyFont="1" applyFill="1" applyBorder="1" applyAlignment="1">
      <alignment horizontal="center" vertical="top" wrapText="1"/>
    </xf>
    <xf numFmtId="0" fontId="12" fillId="0" borderId="0" xfId="441" applyFont="1"/>
    <xf numFmtId="0" fontId="12" fillId="0" borderId="1" xfId="465" applyFont="1" applyBorder="1" applyAlignment="1">
      <alignment horizontal="left" wrapText="1"/>
    </xf>
    <xf numFmtId="0" fontId="12" fillId="0" borderId="1" xfId="465" applyFont="1" applyBorder="1" applyAlignment="1">
      <alignment horizontal="center" wrapText="1"/>
    </xf>
    <xf numFmtId="0" fontId="12" fillId="0" borderId="1" xfId="465" applyFont="1" applyFill="1" applyBorder="1" applyAlignment="1">
      <alignment horizontal="left" wrapText="1"/>
    </xf>
    <xf numFmtId="0" fontId="12" fillId="0" borderId="1" xfId="465" applyFont="1" applyFill="1" applyBorder="1" applyAlignment="1">
      <alignment horizontal="center" wrapText="1"/>
    </xf>
    <xf numFmtId="0" fontId="13" fillId="38" borderId="14" xfId="2" quotePrefix="1" applyNumberFormat="1" applyFont="1" applyFill="1" applyBorder="1" applyAlignment="1">
      <alignment horizontal="center" vertical="top"/>
    </xf>
    <xf numFmtId="0" fontId="13" fillId="38" borderId="13" xfId="2" quotePrefix="1" applyNumberFormat="1" applyFont="1" applyFill="1" applyBorder="1" applyAlignment="1">
      <alignment horizontal="center" vertical="top"/>
    </xf>
    <xf numFmtId="0" fontId="13" fillId="38" borderId="14" xfId="441" quotePrefix="1" applyNumberFormat="1" applyFont="1" applyFill="1" applyBorder="1" applyAlignment="1">
      <alignment horizontal="center"/>
    </xf>
    <xf numFmtId="0" fontId="13" fillId="38" borderId="13" xfId="441" quotePrefix="1" applyNumberFormat="1" applyFont="1" applyFill="1" applyBorder="1" applyAlignment="1">
      <alignment horizontal="center"/>
    </xf>
  </cellXfs>
  <cellStyles count="699">
    <cellStyle name="20% - Accent1 2" xfId="39"/>
    <cellStyle name="20% - Accent1 2 10" xfId="40"/>
    <cellStyle name="20% - Accent1 2 11" xfId="41"/>
    <cellStyle name="20% - Accent1 2 2" xfId="42"/>
    <cellStyle name="20% - Accent1 2 3" xfId="43"/>
    <cellStyle name="20% - Accent1 2 4" xfId="44"/>
    <cellStyle name="20% - Accent1 2 5" xfId="45"/>
    <cellStyle name="20% - Accent1 2 6" xfId="46"/>
    <cellStyle name="20% - Accent1 2 7" xfId="47"/>
    <cellStyle name="20% - Accent1 2 8" xfId="48"/>
    <cellStyle name="20% - Accent1 2 9" xfId="49"/>
    <cellStyle name="20% - Accent2 2" xfId="50"/>
    <cellStyle name="20% - Accent2 2 10" xfId="51"/>
    <cellStyle name="20% - Accent2 2 11" xfId="52"/>
    <cellStyle name="20% - Accent2 2 2" xfId="53"/>
    <cellStyle name="20% - Accent2 2 3" xfId="54"/>
    <cellStyle name="20% - Accent2 2 4" xfId="55"/>
    <cellStyle name="20% - Accent2 2 5" xfId="56"/>
    <cellStyle name="20% - Accent2 2 6" xfId="57"/>
    <cellStyle name="20% - Accent2 2 7" xfId="58"/>
    <cellStyle name="20% - Accent2 2 8" xfId="59"/>
    <cellStyle name="20% - Accent2 2 9" xfId="60"/>
    <cellStyle name="20% - Accent3 2" xfId="61"/>
    <cellStyle name="20% - Accent3 2 10" xfId="62"/>
    <cellStyle name="20% - Accent3 2 11" xfId="63"/>
    <cellStyle name="20% - Accent3 2 2" xfId="64"/>
    <cellStyle name="20% - Accent3 2 3" xfId="65"/>
    <cellStyle name="20% - Accent3 2 4" xfId="66"/>
    <cellStyle name="20% - Accent3 2 5" xfId="67"/>
    <cellStyle name="20% - Accent3 2 6" xfId="68"/>
    <cellStyle name="20% - Accent3 2 7" xfId="69"/>
    <cellStyle name="20% - Accent3 2 8" xfId="70"/>
    <cellStyle name="20% - Accent3 2 9" xfId="71"/>
    <cellStyle name="20% - Accent4 2" xfId="72"/>
    <cellStyle name="20% - Accent4 2 10" xfId="73"/>
    <cellStyle name="20% - Accent4 2 11" xfId="74"/>
    <cellStyle name="20% - Accent4 2 2" xfId="75"/>
    <cellStyle name="20% - Accent4 2 3" xfId="76"/>
    <cellStyle name="20% - Accent4 2 4" xfId="77"/>
    <cellStyle name="20% - Accent4 2 5" xfId="78"/>
    <cellStyle name="20% - Accent4 2 6" xfId="79"/>
    <cellStyle name="20% - Accent4 2 7" xfId="80"/>
    <cellStyle name="20% - Accent4 2 8" xfId="81"/>
    <cellStyle name="20% - Accent4 2 9" xfId="82"/>
    <cellStyle name="20% - Accent5 2" xfId="83"/>
    <cellStyle name="20% - Accent5 2 10" xfId="84"/>
    <cellStyle name="20% - Accent5 2 11" xfId="85"/>
    <cellStyle name="20% - Accent5 2 2" xfId="86"/>
    <cellStyle name="20% - Accent5 2 3" xfId="87"/>
    <cellStyle name="20% - Accent5 2 4" xfId="88"/>
    <cellStyle name="20% - Accent5 2 5" xfId="89"/>
    <cellStyle name="20% - Accent5 2 6" xfId="90"/>
    <cellStyle name="20% - Accent5 2 7" xfId="91"/>
    <cellStyle name="20% - Accent5 2 8" xfId="92"/>
    <cellStyle name="20% - Accent5 2 9" xfId="93"/>
    <cellStyle name="20% - Accent6 2" xfId="94"/>
    <cellStyle name="20% - Accent6 2 10" xfId="95"/>
    <cellStyle name="20% - Accent6 2 11" xfId="96"/>
    <cellStyle name="20% - Accent6 2 2" xfId="97"/>
    <cellStyle name="20% - Accent6 2 3" xfId="98"/>
    <cellStyle name="20% - Accent6 2 4" xfId="99"/>
    <cellStyle name="20% - Accent6 2 5" xfId="100"/>
    <cellStyle name="20% - Accent6 2 6" xfId="101"/>
    <cellStyle name="20% - Accent6 2 7" xfId="102"/>
    <cellStyle name="20% - Accent6 2 8" xfId="103"/>
    <cellStyle name="20% - Accent6 2 9" xfId="104"/>
    <cellStyle name="40% - Accent1 2" xfId="105"/>
    <cellStyle name="40% - Accent1 2 10" xfId="106"/>
    <cellStyle name="40% - Accent1 2 11" xfId="107"/>
    <cellStyle name="40% - Accent1 2 2" xfId="108"/>
    <cellStyle name="40% - Accent1 2 3" xfId="109"/>
    <cellStyle name="40% - Accent1 2 4" xfId="110"/>
    <cellStyle name="40% - Accent1 2 5" xfId="111"/>
    <cellStyle name="40% - Accent1 2 6" xfId="112"/>
    <cellStyle name="40% - Accent1 2 7" xfId="113"/>
    <cellStyle name="40% - Accent1 2 8" xfId="114"/>
    <cellStyle name="40% - Accent1 2 9" xfId="115"/>
    <cellStyle name="40% - Accent2 2" xfId="116"/>
    <cellStyle name="40% - Accent2 2 10" xfId="117"/>
    <cellStyle name="40% - Accent2 2 11" xfId="118"/>
    <cellStyle name="40% - Accent2 2 2" xfId="119"/>
    <cellStyle name="40% - Accent2 2 3" xfId="120"/>
    <cellStyle name="40% - Accent2 2 4" xfId="121"/>
    <cellStyle name="40% - Accent2 2 5" xfId="122"/>
    <cellStyle name="40% - Accent2 2 6" xfId="123"/>
    <cellStyle name="40% - Accent2 2 7" xfId="124"/>
    <cellStyle name="40% - Accent2 2 8" xfId="125"/>
    <cellStyle name="40% - Accent2 2 9" xfId="126"/>
    <cellStyle name="40% - Accent3 2" xfId="127"/>
    <cellStyle name="40% - Accent3 2 10" xfId="128"/>
    <cellStyle name="40% - Accent3 2 11" xfId="129"/>
    <cellStyle name="40% - Accent3 2 2" xfId="130"/>
    <cellStyle name="40% - Accent3 2 3" xfId="131"/>
    <cellStyle name="40% - Accent3 2 4" xfId="132"/>
    <cellStyle name="40% - Accent3 2 5" xfId="133"/>
    <cellStyle name="40% - Accent3 2 6" xfId="134"/>
    <cellStyle name="40% - Accent3 2 7" xfId="135"/>
    <cellStyle name="40% - Accent3 2 8" xfId="136"/>
    <cellStyle name="40% - Accent3 2 9" xfId="137"/>
    <cellStyle name="40% - Accent4 2" xfId="138"/>
    <cellStyle name="40% - Accent4 2 10" xfId="139"/>
    <cellStyle name="40% - Accent4 2 11" xfId="140"/>
    <cellStyle name="40% - Accent4 2 2" xfId="141"/>
    <cellStyle name="40% - Accent4 2 3" xfId="142"/>
    <cellStyle name="40% - Accent4 2 4" xfId="143"/>
    <cellStyle name="40% - Accent4 2 5" xfId="144"/>
    <cellStyle name="40% - Accent4 2 6" xfId="145"/>
    <cellStyle name="40% - Accent4 2 7" xfId="146"/>
    <cellStyle name="40% - Accent4 2 8" xfId="147"/>
    <cellStyle name="40% - Accent4 2 9" xfId="148"/>
    <cellStyle name="40% - Accent5 2" xfId="149"/>
    <cellStyle name="40% - Accent5 2 10" xfId="150"/>
    <cellStyle name="40% - Accent5 2 11" xfId="151"/>
    <cellStyle name="40% - Accent5 2 2" xfId="152"/>
    <cellStyle name="40% - Accent5 2 3" xfId="153"/>
    <cellStyle name="40% - Accent5 2 4" xfId="154"/>
    <cellStyle name="40% - Accent5 2 5" xfId="155"/>
    <cellStyle name="40% - Accent5 2 6" xfId="156"/>
    <cellStyle name="40% - Accent5 2 7" xfId="157"/>
    <cellStyle name="40% - Accent5 2 8" xfId="158"/>
    <cellStyle name="40% - Accent5 2 9" xfId="159"/>
    <cellStyle name="40% - Accent6 2" xfId="160"/>
    <cellStyle name="40% - Accent6 2 10" xfId="161"/>
    <cellStyle name="40% - Accent6 2 11" xfId="162"/>
    <cellStyle name="40% - Accent6 2 2" xfId="163"/>
    <cellStyle name="40% - Accent6 2 3" xfId="164"/>
    <cellStyle name="40% - Accent6 2 4" xfId="165"/>
    <cellStyle name="40% - Accent6 2 5" xfId="166"/>
    <cellStyle name="40% - Accent6 2 6" xfId="167"/>
    <cellStyle name="40% - Accent6 2 7" xfId="168"/>
    <cellStyle name="40% - Accent6 2 8" xfId="169"/>
    <cellStyle name="40% - Accent6 2 9" xfId="170"/>
    <cellStyle name="60% - Accent1 2" xfId="171"/>
    <cellStyle name="60% - Accent1 2 10" xfId="172"/>
    <cellStyle name="60% - Accent1 2 11" xfId="173"/>
    <cellStyle name="60% - Accent1 2 2" xfId="174"/>
    <cellStyle name="60% - Accent1 2 3" xfId="175"/>
    <cellStyle name="60% - Accent1 2 4" xfId="176"/>
    <cellStyle name="60% - Accent1 2 5" xfId="177"/>
    <cellStyle name="60% - Accent1 2 6" xfId="178"/>
    <cellStyle name="60% - Accent1 2 7" xfId="179"/>
    <cellStyle name="60% - Accent1 2 8" xfId="180"/>
    <cellStyle name="60% - Accent1 2 9" xfId="181"/>
    <cellStyle name="60% - Accent2 2" xfId="182"/>
    <cellStyle name="60% - Accent2 2 10" xfId="183"/>
    <cellStyle name="60% - Accent2 2 11" xfId="184"/>
    <cellStyle name="60% - Accent2 2 2" xfId="185"/>
    <cellStyle name="60% - Accent2 2 3" xfId="186"/>
    <cellStyle name="60% - Accent2 2 4" xfId="187"/>
    <cellStyle name="60% - Accent2 2 5" xfId="188"/>
    <cellStyle name="60% - Accent2 2 6" xfId="189"/>
    <cellStyle name="60% - Accent2 2 7" xfId="190"/>
    <cellStyle name="60% - Accent2 2 8" xfId="191"/>
    <cellStyle name="60% - Accent2 2 9" xfId="192"/>
    <cellStyle name="60% - Accent3 2" xfId="193"/>
    <cellStyle name="60% - Accent3 2 10" xfId="194"/>
    <cellStyle name="60% - Accent3 2 11" xfId="195"/>
    <cellStyle name="60% - Accent3 2 2" xfId="196"/>
    <cellStyle name="60% - Accent3 2 3" xfId="197"/>
    <cellStyle name="60% - Accent3 2 4" xfId="198"/>
    <cellStyle name="60% - Accent3 2 5" xfId="199"/>
    <cellStyle name="60% - Accent3 2 6" xfId="200"/>
    <cellStyle name="60% - Accent3 2 7" xfId="201"/>
    <cellStyle name="60% - Accent3 2 8" xfId="202"/>
    <cellStyle name="60% - Accent3 2 9" xfId="203"/>
    <cellStyle name="60% - Accent4 2" xfId="204"/>
    <cellStyle name="60% - Accent4 2 10" xfId="205"/>
    <cellStyle name="60% - Accent4 2 11" xfId="206"/>
    <cellStyle name="60% - Accent4 2 2" xfId="207"/>
    <cellStyle name="60% - Accent4 2 3" xfId="208"/>
    <cellStyle name="60% - Accent4 2 4" xfId="209"/>
    <cellStyle name="60% - Accent4 2 5" xfId="210"/>
    <cellStyle name="60% - Accent4 2 6" xfId="211"/>
    <cellStyle name="60% - Accent4 2 7" xfId="212"/>
    <cellStyle name="60% - Accent4 2 8" xfId="213"/>
    <cellStyle name="60% - Accent4 2 9" xfId="214"/>
    <cellStyle name="60% - Accent5 2" xfId="215"/>
    <cellStyle name="60% - Accent5 2 10" xfId="216"/>
    <cellStyle name="60% - Accent5 2 11" xfId="217"/>
    <cellStyle name="60% - Accent5 2 2" xfId="218"/>
    <cellStyle name="60% - Accent5 2 3" xfId="219"/>
    <cellStyle name="60% - Accent5 2 4" xfId="220"/>
    <cellStyle name="60% - Accent5 2 5" xfId="221"/>
    <cellStyle name="60% - Accent5 2 6" xfId="222"/>
    <cellStyle name="60% - Accent5 2 7" xfId="223"/>
    <cellStyle name="60% - Accent5 2 8" xfId="224"/>
    <cellStyle name="60% - Accent5 2 9" xfId="225"/>
    <cellStyle name="60% - Accent6 2" xfId="226"/>
    <cellStyle name="60% - Accent6 2 10" xfId="227"/>
    <cellStyle name="60% - Accent6 2 11" xfId="228"/>
    <cellStyle name="60% - Accent6 2 2" xfId="229"/>
    <cellStyle name="60% - Accent6 2 3" xfId="230"/>
    <cellStyle name="60% - Accent6 2 4" xfId="231"/>
    <cellStyle name="60% - Accent6 2 5" xfId="232"/>
    <cellStyle name="60% - Accent6 2 6" xfId="233"/>
    <cellStyle name="60% - Accent6 2 7" xfId="234"/>
    <cellStyle name="60% - Accent6 2 8" xfId="235"/>
    <cellStyle name="60% - Accent6 2 9" xfId="236"/>
    <cellStyle name="Accent1 2" xfId="237"/>
    <cellStyle name="Accent1 2 10" xfId="238"/>
    <cellStyle name="Accent1 2 11" xfId="239"/>
    <cellStyle name="Accent1 2 2" xfId="240"/>
    <cellStyle name="Accent1 2 3" xfId="241"/>
    <cellStyle name="Accent1 2 4" xfId="242"/>
    <cellStyle name="Accent1 2 5" xfId="243"/>
    <cellStyle name="Accent1 2 6" xfId="244"/>
    <cellStyle name="Accent1 2 7" xfId="245"/>
    <cellStyle name="Accent1 2 8" xfId="246"/>
    <cellStyle name="Accent1 2 9" xfId="247"/>
    <cellStyle name="Accent2 2" xfId="248"/>
    <cellStyle name="Accent2 2 10" xfId="249"/>
    <cellStyle name="Accent2 2 11" xfId="250"/>
    <cellStyle name="Accent2 2 2" xfId="251"/>
    <cellStyle name="Accent2 2 3" xfId="252"/>
    <cellStyle name="Accent2 2 4" xfId="253"/>
    <cellStyle name="Accent2 2 5" xfId="254"/>
    <cellStyle name="Accent2 2 6" xfId="255"/>
    <cellStyle name="Accent2 2 7" xfId="256"/>
    <cellStyle name="Accent2 2 8" xfId="257"/>
    <cellStyle name="Accent2 2 9" xfId="258"/>
    <cellStyle name="Accent3 2" xfId="259"/>
    <cellStyle name="Accent3 2 10" xfId="260"/>
    <cellStyle name="Accent3 2 11" xfId="261"/>
    <cellStyle name="Accent3 2 2" xfId="262"/>
    <cellStyle name="Accent3 2 3" xfId="263"/>
    <cellStyle name="Accent3 2 4" xfId="264"/>
    <cellStyle name="Accent3 2 5" xfId="265"/>
    <cellStyle name="Accent3 2 6" xfId="266"/>
    <cellStyle name="Accent3 2 7" xfId="267"/>
    <cellStyle name="Accent3 2 8" xfId="268"/>
    <cellStyle name="Accent3 2 9" xfId="269"/>
    <cellStyle name="Accent4 2" xfId="270"/>
    <cellStyle name="Accent4 2 10" xfId="271"/>
    <cellStyle name="Accent4 2 11" xfId="272"/>
    <cellStyle name="Accent4 2 2" xfId="273"/>
    <cellStyle name="Accent4 2 3" xfId="274"/>
    <cellStyle name="Accent4 2 4" xfId="275"/>
    <cellStyle name="Accent4 2 5" xfId="276"/>
    <cellStyle name="Accent4 2 6" xfId="277"/>
    <cellStyle name="Accent4 2 7" xfId="278"/>
    <cellStyle name="Accent4 2 8" xfId="279"/>
    <cellStyle name="Accent4 2 9" xfId="280"/>
    <cellStyle name="Accent5 2" xfId="281"/>
    <cellStyle name="Accent5 2 10" xfId="282"/>
    <cellStyle name="Accent5 2 11" xfId="283"/>
    <cellStyle name="Accent5 2 2" xfId="284"/>
    <cellStyle name="Accent5 2 3" xfId="285"/>
    <cellStyle name="Accent5 2 4" xfId="286"/>
    <cellStyle name="Accent5 2 5" xfId="287"/>
    <cellStyle name="Accent5 2 6" xfId="288"/>
    <cellStyle name="Accent5 2 7" xfId="289"/>
    <cellStyle name="Accent5 2 8" xfId="290"/>
    <cellStyle name="Accent5 2 9" xfId="291"/>
    <cellStyle name="Accent6 2" xfId="292"/>
    <cellStyle name="Accent6 2 10" xfId="293"/>
    <cellStyle name="Accent6 2 11" xfId="294"/>
    <cellStyle name="Accent6 2 2" xfId="295"/>
    <cellStyle name="Accent6 2 3" xfId="296"/>
    <cellStyle name="Accent6 2 4" xfId="297"/>
    <cellStyle name="Accent6 2 5" xfId="298"/>
    <cellStyle name="Accent6 2 6" xfId="299"/>
    <cellStyle name="Accent6 2 7" xfId="300"/>
    <cellStyle name="Accent6 2 8" xfId="301"/>
    <cellStyle name="Accent6 2 9" xfId="302"/>
    <cellStyle name="Bad 2" xfId="303"/>
    <cellStyle name="Bad 2 10" xfId="304"/>
    <cellStyle name="Bad 2 11" xfId="305"/>
    <cellStyle name="Bad 2 2" xfId="306"/>
    <cellStyle name="Bad 2 3" xfId="307"/>
    <cellStyle name="Bad 2 4" xfId="308"/>
    <cellStyle name="Bad 2 5" xfId="309"/>
    <cellStyle name="Bad 2 6" xfId="310"/>
    <cellStyle name="Bad 2 7" xfId="311"/>
    <cellStyle name="Bad 2 8" xfId="312"/>
    <cellStyle name="Bad 2 9" xfId="313"/>
    <cellStyle name="Calculation 2" xfId="314"/>
    <cellStyle name="Calculation 2 10" xfId="315"/>
    <cellStyle name="Calculation 2 11" xfId="316"/>
    <cellStyle name="Calculation 2 2" xfId="317"/>
    <cellStyle name="Calculation 2 3" xfId="318"/>
    <cellStyle name="Calculation 2 4" xfId="319"/>
    <cellStyle name="Calculation 2 5" xfId="320"/>
    <cellStyle name="Calculation 2 6" xfId="321"/>
    <cellStyle name="Calculation 2 7" xfId="322"/>
    <cellStyle name="Calculation 2 8" xfId="323"/>
    <cellStyle name="Calculation 2 9" xfId="324"/>
    <cellStyle name="Check Cell 2" xfId="325"/>
    <cellStyle name="Check Cell 2 10" xfId="326"/>
    <cellStyle name="Check Cell 2 11" xfId="327"/>
    <cellStyle name="Check Cell 2 2" xfId="328"/>
    <cellStyle name="Check Cell 2 3" xfId="329"/>
    <cellStyle name="Check Cell 2 4" xfId="330"/>
    <cellStyle name="Check Cell 2 5" xfId="331"/>
    <cellStyle name="Check Cell 2 6" xfId="332"/>
    <cellStyle name="Check Cell 2 7" xfId="333"/>
    <cellStyle name="Check Cell 2 8" xfId="334"/>
    <cellStyle name="Check Cell 2 9" xfId="335"/>
    <cellStyle name="Explanatory Text 2" xfId="336"/>
    <cellStyle name="Explanatory Text 2 10" xfId="337"/>
    <cellStyle name="Explanatory Text 2 11" xfId="338"/>
    <cellStyle name="Explanatory Text 2 2" xfId="339"/>
    <cellStyle name="Explanatory Text 2 3" xfId="340"/>
    <cellStyle name="Explanatory Text 2 4" xfId="341"/>
    <cellStyle name="Explanatory Text 2 5" xfId="342"/>
    <cellStyle name="Explanatory Text 2 6" xfId="343"/>
    <cellStyle name="Explanatory Text 2 7" xfId="344"/>
    <cellStyle name="Explanatory Text 2 8" xfId="345"/>
    <cellStyle name="Explanatory Text 2 9" xfId="346"/>
    <cellStyle name="Good 2" xfId="347"/>
    <cellStyle name="Good 2 10" xfId="348"/>
    <cellStyle name="Good 2 11" xfId="349"/>
    <cellStyle name="Good 2 2" xfId="350"/>
    <cellStyle name="Good 2 3" xfId="351"/>
    <cellStyle name="Good 2 4" xfId="352"/>
    <cellStyle name="Good 2 5" xfId="353"/>
    <cellStyle name="Good 2 6" xfId="354"/>
    <cellStyle name="Good 2 7" xfId="355"/>
    <cellStyle name="Good 2 8" xfId="356"/>
    <cellStyle name="Good 2 9" xfId="357"/>
    <cellStyle name="Grey" xfId="358"/>
    <cellStyle name="Header1" xfId="359"/>
    <cellStyle name="Header2" xfId="360"/>
    <cellStyle name="Heading 1 2" xfId="361"/>
    <cellStyle name="Heading 1 2 10" xfId="362"/>
    <cellStyle name="Heading 1 2 11" xfId="363"/>
    <cellStyle name="Heading 1 2 2" xfId="364"/>
    <cellStyle name="Heading 1 2 3" xfId="365"/>
    <cellStyle name="Heading 1 2 4" xfId="366"/>
    <cellStyle name="Heading 1 2 5" xfId="367"/>
    <cellStyle name="Heading 1 2 6" xfId="368"/>
    <cellStyle name="Heading 1 2 7" xfId="369"/>
    <cellStyle name="Heading 1 2 8" xfId="370"/>
    <cellStyle name="Heading 1 2 9" xfId="371"/>
    <cellStyle name="Heading 2 2" xfId="372"/>
    <cellStyle name="Heading 2 2 10" xfId="373"/>
    <cellStyle name="Heading 2 2 11" xfId="374"/>
    <cellStyle name="Heading 2 2 2" xfId="375"/>
    <cellStyle name="Heading 2 2 3" xfId="376"/>
    <cellStyle name="Heading 2 2 4" xfId="377"/>
    <cellStyle name="Heading 2 2 5" xfId="378"/>
    <cellStyle name="Heading 2 2 6" xfId="379"/>
    <cellStyle name="Heading 2 2 7" xfId="380"/>
    <cellStyle name="Heading 2 2 8" xfId="381"/>
    <cellStyle name="Heading 2 2 9" xfId="382"/>
    <cellStyle name="Heading 3 2" xfId="383"/>
    <cellStyle name="Heading 3 2 10" xfId="384"/>
    <cellStyle name="Heading 3 2 11" xfId="385"/>
    <cellStyle name="Heading 3 2 2" xfId="386"/>
    <cellStyle name="Heading 3 2 3" xfId="387"/>
    <cellStyle name="Heading 3 2 4" xfId="388"/>
    <cellStyle name="Heading 3 2 5" xfId="389"/>
    <cellStyle name="Heading 3 2 6" xfId="390"/>
    <cellStyle name="Heading 3 2 7" xfId="391"/>
    <cellStyle name="Heading 3 2 8" xfId="392"/>
    <cellStyle name="Heading 3 2 9" xfId="393"/>
    <cellStyle name="Heading 4 2" xfId="394"/>
    <cellStyle name="Heading 4 2 10" xfId="395"/>
    <cellStyle name="Heading 4 2 11" xfId="396"/>
    <cellStyle name="Heading 4 2 2" xfId="397"/>
    <cellStyle name="Heading 4 2 3" xfId="398"/>
    <cellStyle name="Heading 4 2 4" xfId="399"/>
    <cellStyle name="Heading 4 2 5" xfId="400"/>
    <cellStyle name="Heading 4 2 6" xfId="401"/>
    <cellStyle name="Heading 4 2 7" xfId="402"/>
    <cellStyle name="Heading 4 2 8" xfId="403"/>
    <cellStyle name="Heading 4 2 9" xfId="404"/>
    <cellStyle name="Input [yellow]" xfId="405"/>
    <cellStyle name="Input 2" xfId="406"/>
    <cellStyle name="Input 2 10" xfId="407"/>
    <cellStyle name="Input 2 11" xfId="408"/>
    <cellStyle name="Input 2 2" xfId="409"/>
    <cellStyle name="Input 2 3" xfId="410"/>
    <cellStyle name="Input 2 4" xfId="411"/>
    <cellStyle name="Input 2 5" xfId="412"/>
    <cellStyle name="Input 2 6" xfId="413"/>
    <cellStyle name="Input 2 7" xfId="414"/>
    <cellStyle name="Input 2 8" xfId="415"/>
    <cellStyle name="Input 2 9" xfId="416"/>
    <cellStyle name="Input 3" xfId="417"/>
    <cellStyle name="Linked Cell 2" xfId="418"/>
    <cellStyle name="Linked Cell 2 10" xfId="419"/>
    <cellStyle name="Linked Cell 2 11" xfId="420"/>
    <cellStyle name="Linked Cell 2 2" xfId="421"/>
    <cellStyle name="Linked Cell 2 3" xfId="422"/>
    <cellStyle name="Linked Cell 2 4" xfId="423"/>
    <cellStyle name="Linked Cell 2 5" xfId="424"/>
    <cellStyle name="Linked Cell 2 6" xfId="425"/>
    <cellStyle name="Linked Cell 2 7" xfId="426"/>
    <cellStyle name="Linked Cell 2 8" xfId="427"/>
    <cellStyle name="Linked Cell 2 9" xfId="428"/>
    <cellStyle name="Neutral 2" xfId="429"/>
    <cellStyle name="Neutral 2 10" xfId="430"/>
    <cellStyle name="Neutral 2 11" xfId="431"/>
    <cellStyle name="Neutral 2 2" xfId="432"/>
    <cellStyle name="Neutral 2 3" xfId="433"/>
    <cellStyle name="Neutral 2 4" xfId="434"/>
    <cellStyle name="Neutral 2 5" xfId="435"/>
    <cellStyle name="Neutral 2 6" xfId="436"/>
    <cellStyle name="Neutral 2 7" xfId="437"/>
    <cellStyle name="Neutral 2 8" xfId="438"/>
    <cellStyle name="Neutral 2 9" xfId="439"/>
    <cellStyle name="Normal" xfId="0" builtinId="0"/>
    <cellStyle name="Normal - Style1" xfId="440"/>
    <cellStyle name="Normal 10" xfId="1"/>
    <cellStyle name="Normal 10 10" xfId="441"/>
    <cellStyle name="Normal 10 11" xfId="442"/>
    <cellStyle name="Normal 10 12" xfId="443"/>
    <cellStyle name="Normal 10 2" xfId="444"/>
    <cellStyle name="Normal 10 3" xfId="445"/>
    <cellStyle name="Normal 10 4" xfId="446"/>
    <cellStyle name="Normal 10 5" xfId="447"/>
    <cellStyle name="Normal 10 6" xfId="448"/>
    <cellStyle name="Normal 10 7" xfId="449"/>
    <cellStyle name="Normal 10 8" xfId="450"/>
    <cellStyle name="Normal 10 9" xfId="451"/>
    <cellStyle name="Normal 13" xfId="452"/>
    <cellStyle name="Normal 14" xfId="453"/>
    <cellStyle name="Normal 14 2" xfId="454"/>
    <cellStyle name="Normal 15" xfId="455"/>
    <cellStyle name="Normal 15 2" xfId="456"/>
    <cellStyle name="Normal 16" xfId="457"/>
    <cellStyle name="Normal 16 2" xfId="458"/>
    <cellStyle name="Normal 17" xfId="459"/>
    <cellStyle name="Normal 17 2" xfId="460"/>
    <cellStyle name="Normal 18" xfId="461"/>
    <cellStyle name="Normal 18 2" xfId="462"/>
    <cellStyle name="Normal 19" xfId="463"/>
    <cellStyle name="Normal 19 2" xfId="464"/>
    <cellStyle name="Normal 2" xfId="465"/>
    <cellStyle name="Normal 2 2" xfId="2"/>
    <cellStyle name="Normal 20" xfId="3"/>
    <cellStyle name="Normal 20 2" xfId="21"/>
    <cellStyle name="Normal 21" xfId="4"/>
    <cellStyle name="Normal 21 2" xfId="22"/>
    <cellStyle name="Normal 22" xfId="466"/>
    <cellStyle name="Normal 23" xfId="467"/>
    <cellStyle name="Normal 24" xfId="468"/>
    <cellStyle name="Normal 25" xfId="469"/>
    <cellStyle name="Normal 26" xfId="470"/>
    <cellStyle name="Normal 27" xfId="471"/>
    <cellStyle name="Normal 28" xfId="472"/>
    <cellStyle name="Normal 29" xfId="473"/>
    <cellStyle name="Normal 3" xfId="474"/>
    <cellStyle name="Normal 3 10" xfId="475"/>
    <cellStyle name="Normal 3 11" xfId="476"/>
    <cellStyle name="Normal 3 12" xfId="477"/>
    <cellStyle name="Normal 3 13" xfId="478"/>
    <cellStyle name="Normal 3 14" xfId="479"/>
    <cellStyle name="Normal 3 15" xfId="480"/>
    <cellStyle name="Normal 3 2" xfId="481"/>
    <cellStyle name="Normal 3 2 10" xfId="482"/>
    <cellStyle name="Normal 3 2 10 2" xfId="483"/>
    <cellStyle name="Normal 3 2 11" xfId="484"/>
    <cellStyle name="Normal 3 2 2" xfId="485"/>
    <cellStyle name="Normal 3 2 2 10" xfId="486"/>
    <cellStyle name="Normal 3 2 2 11" xfId="487"/>
    <cellStyle name="Normal 3 2 2 2" xfId="488"/>
    <cellStyle name="Normal 3 2 2 3" xfId="489"/>
    <cellStyle name="Normal 3 2 2 4" xfId="490"/>
    <cellStyle name="Normal 3 2 2 5" xfId="491"/>
    <cellStyle name="Normal 3 2 2 6" xfId="492"/>
    <cellStyle name="Normal 3 2 2 7" xfId="493"/>
    <cellStyle name="Normal 3 2 2 8" xfId="494"/>
    <cellStyle name="Normal 3 2 2 9" xfId="495"/>
    <cellStyle name="Normal 3 2 3" xfId="496"/>
    <cellStyle name="Normal 3 2 3 2" xfId="497"/>
    <cellStyle name="Normal 3 2 4" xfId="498"/>
    <cellStyle name="Normal 3 2 4 2" xfId="499"/>
    <cellStyle name="Normal 3 2 5" xfId="500"/>
    <cellStyle name="Normal 3 2 5 2" xfId="501"/>
    <cellStyle name="Normal 3 2 6" xfId="502"/>
    <cellStyle name="Normal 3 2 6 2" xfId="503"/>
    <cellStyle name="Normal 3 2 7" xfId="504"/>
    <cellStyle name="Normal 3 2 7 2" xfId="505"/>
    <cellStyle name="Normal 3 2 8" xfId="506"/>
    <cellStyle name="Normal 3 2 8 2" xfId="507"/>
    <cellStyle name="Normal 3 2 9" xfId="508"/>
    <cellStyle name="Normal 3 2 9 2" xfId="509"/>
    <cellStyle name="Normal 3 3" xfId="510"/>
    <cellStyle name="Normal 3 4" xfId="511"/>
    <cellStyle name="Normal 3 5" xfId="512"/>
    <cellStyle name="Normal 3 6" xfId="513"/>
    <cellStyle name="Normal 3 7" xfId="514"/>
    <cellStyle name="Normal 3 8" xfId="515"/>
    <cellStyle name="Normal 3 9" xfId="516"/>
    <cellStyle name="Normal 30" xfId="517"/>
    <cellStyle name="Normal 31" xfId="518"/>
    <cellStyle name="Normal 32" xfId="519"/>
    <cellStyle name="Normal 33" xfId="520"/>
    <cellStyle name="Normal 34" xfId="521"/>
    <cellStyle name="Normal 35" xfId="522"/>
    <cellStyle name="Normal 36" xfId="523"/>
    <cellStyle name="Normal 36 2" xfId="524"/>
    <cellStyle name="Normal 37" xfId="525"/>
    <cellStyle name="Normal 38" xfId="5"/>
    <cellStyle name="Normal 38 2" xfId="23"/>
    <cellStyle name="Normal 39" xfId="6"/>
    <cellStyle name="Normal 39 2" xfId="24"/>
    <cellStyle name="Normal 4 10" xfId="526"/>
    <cellStyle name="Normal 4 11" xfId="527"/>
    <cellStyle name="Normal 4 2" xfId="528"/>
    <cellStyle name="Normal 4 2 10" xfId="529"/>
    <cellStyle name="Normal 4 2 10 2" xfId="530"/>
    <cellStyle name="Normal 4 2 11" xfId="531"/>
    <cellStyle name="Normal 4 2 12" xfId="532"/>
    <cellStyle name="Normal 4 2 2" xfId="533"/>
    <cellStyle name="Normal 4 2 2 2" xfId="534"/>
    <cellStyle name="Normal 4 2 3" xfId="535"/>
    <cellStyle name="Normal 4 2 3 2" xfId="536"/>
    <cellStyle name="Normal 4 2 4" xfId="537"/>
    <cellStyle name="Normal 4 2 4 2" xfId="538"/>
    <cellStyle name="Normal 4 2 5" xfId="539"/>
    <cellStyle name="Normal 4 2 5 2" xfId="540"/>
    <cellStyle name="Normal 4 2 6" xfId="541"/>
    <cellStyle name="Normal 4 2 6 2" xfId="542"/>
    <cellStyle name="Normal 4 2 7" xfId="543"/>
    <cellStyle name="Normal 4 2 7 2" xfId="544"/>
    <cellStyle name="Normal 4 2 8" xfId="545"/>
    <cellStyle name="Normal 4 2 8 2" xfId="546"/>
    <cellStyle name="Normal 4 2 9" xfId="547"/>
    <cellStyle name="Normal 4 2 9 2" xfId="548"/>
    <cellStyle name="Normal 4 3" xfId="549"/>
    <cellStyle name="Normal 4 4" xfId="550"/>
    <cellStyle name="Normal 4 5" xfId="551"/>
    <cellStyle name="Normal 4 6" xfId="552"/>
    <cellStyle name="Normal 4 7" xfId="553"/>
    <cellStyle name="Normal 4 8" xfId="554"/>
    <cellStyle name="Normal 4 9" xfId="555"/>
    <cellStyle name="Normal 40" xfId="7"/>
    <cellStyle name="Normal 40 2" xfId="25"/>
    <cellStyle name="Normal 41" xfId="8"/>
    <cellStyle name="Normal 41 2" xfId="26"/>
    <cellStyle name="Normal 42" xfId="9"/>
    <cellStyle name="Normal 42 2" xfId="27"/>
    <cellStyle name="Normal 43" xfId="556"/>
    <cellStyle name="Normal 44" xfId="557"/>
    <cellStyle name="Normal 45" xfId="10"/>
    <cellStyle name="Normal 45 2" xfId="28"/>
    <cellStyle name="Normal 46" xfId="558"/>
    <cellStyle name="Normal 47" xfId="559"/>
    <cellStyle name="Normal 48" xfId="11"/>
    <cellStyle name="Normal 48 2" xfId="29"/>
    <cellStyle name="Normal 49" xfId="12"/>
    <cellStyle name="Normal 49 2" xfId="30"/>
    <cellStyle name="Normal 5" xfId="560"/>
    <cellStyle name="Normal 5 2" xfId="561"/>
    <cellStyle name="Normal 50" xfId="13"/>
    <cellStyle name="Normal 50 2" xfId="31"/>
    <cellStyle name="Normal 51" xfId="14"/>
    <cellStyle name="Normal 51 2" xfId="32"/>
    <cellStyle name="Normal 52" xfId="15"/>
    <cellStyle name="Normal 52 2" xfId="33"/>
    <cellStyle name="Normal 53" xfId="16"/>
    <cellStyle name="Normal 53 2" xfId="34"/>
    <cellStyle name="Normal 54" xfId="17"/>
    <cellStyle name="Normal 54 2" xfId="35"/>
    <cellStyle name="Normal 55" xfId="18"/>
    <cellStyle name="Normal 55 2" xfId="36"/>
    <cellStyle name="Normal 56" xfId="19"/>
    <cellStyle name="Normal 56 2" xfId="37"/>
    <cellStyle name="Normal 57" xfId="20"/>
    <cellStyle name="Normal 57 2" xfId="38"/>
    <cellStyle name="Normal 6" xfId="562"/>
    <cellStyle name="Normal 6 10" xfId="563"/>
    <cellStyle name="Normal 6 11" xfId="564"/>
    <cellStyle name="Normal 6 12" xfId="565"/>
    <cellStyle name="Normal 6 13" xfId="566"/>
    <cellStyle name="Normal 6 2" xfId="567"/>
    <cellStyle name="Normal 6 3" xfId="568"/>
    <cellStyle name="Normal 6 4" xfId="569"/>
    <cellStyle name="Normal 6 5" xfId="570"/>
    <cellStyle name="Normal 6 6" xfId="571"/>
    <cellStyle name="Normal 6 7" xfId="572"/>
    <cellStyle name="Normal 6 8" xfId="573"/>
    <cellStyle name="Normal 6 9" xfId="574"/>
    <cellStyle name="Normal 7" xfId="575"/>
    <cellStyle name="Normal 7 10" xfId="576"/>
    <cellStyle name="Normal 7 11" xfId="577"/>
    <cellStyle name="Normal 7 12" xfId="578"/>
    <cellStyle name="Normal 7 13" xfId="579"/>
    <cellStyle name="Normal 7 2" xfId="580"/>
    <cellStyle name="Normal 7 3" xfId="581"/>
    <cellStyle name="Normal 7 4" xfId="582"/>
    <cellStyle name="Normal 7 5" xfId="583"/>
    <cellStyle name="Normal 7 6" xfId="584"/>
    <cellStyle name="Normal 7 7" xfId="585"/>
    <cellStyle name="Normal 7 8" xfId="586"/>
    <cellStyle name="Normal 7 9" xfId="587"/>
    <cellStyle name="Normal 8" xfId="588"/>
    <cellStyle name="Normal 8 2" xfId="589"/>
    <cellStyle name="Normal 9 10" xfId="590"/>
    <cellStyle name="Normal 9 11" xfId="591"/>
    <cellStyle name="Normal 9 12" xfId="592"/>
    <cellStyle name="Normal 9 2" xfId="593"/>
    <cellStyle name="Normal 9 3" xfId="594"/>
    <cellStyle name="Normal 9 4" xfId="595"/>
    <cellStyle name="Normal 9 5" xfId="596"/>
    <cellStyle name="Normal 9 6" xfId="597"/>
    <cellStyle name="Normal 9 7" xfId="598"/>
    <cellStyle name="Normal 9 8" xfId="599"/>
    <cellStyle name="Normal 9 9" xfId="600"/>
    <cellStyle name="Note 2" xfId="601"/>
    <cellStyle name="Note 2 10" xfId="602"/>
    <cellStyle name="Note 2 11" xfId="603"/>
    <cellStyle name="Note 2 12" xfId="604"/>
    <cellStyle name="Note 2 2" xfId="605"/>
    <cellStyle name="Note 2 3" xfId="606"/>
    <cellStyle name="Note 2 4" xfId="607"/>
    <cellStyle name="Note 2 5" xfId="608"/>
    <cellStyle name="Note 2 6" xfId="609"/>
    <cellStyle name="Note 2 7" xfId="610"/>
    <cellStyle name="Note 2 8" xfId="611"/>
    <cellStyle name="Note 2 9" xfId="612"/>
    <cellStyle name="Note 3" xfId="613"/>
    <cellStyle name="Note 3 2" xfId="614"/>
    <cellStyle name="Output 2" xfId="615"/>
    <cellStyle name="Output 2 10" xfId="616"/>
    <cellStyle name="Output 2 11" xfId="617"/>
    <cellStyle name="Output 2 2" xfId="618"/>
    <cellStyle name="Output 2 3" xfId="619"/>
    <cellStyle name="Output 2 4" xfId="620"/>
    <cellStyle name="Output 2 5" xfId="621"/>
    <cellStyle name="Output 2 6" xfId="622"/>
    <cellStyle name="Output 2 7" xfId="623"/>
    <cellStyle name="Output 2 8" xfId="624"/>
    <cellStyle name="Output 2 9" xfId="625"/>
    <cellStyle name="Percent [2]" xfId="626"/>
    <cellStyle name="Percent [2] 10" xfId="627"/>
    <cellStyle name="Percent [2] 11" xfId="628"/>
    <cellStyle name="Percent [2] 12" xfId="629"/>
    <cellStyle name="Percent [2] 2" xfId="630"/>
    <cellStyle name="Percent [2] 3" xfId="631"/>
    <cellStyle name="Percent [2] 4" xfId="632"/>
    <cellStyle name="Percent [2] 5" xfId="633"/>
    <cellStyle name="Percent [2] 6" xfId="634"/>
    <cellStyle name="Percent [2] 7" xfId="635"/>
    <cellStyle name="Percent [2] 8" xfId="636"/>
    <cellStyle name="Percent [2] 9" xfId="637"/>
    <cellStyle name="PSChar" xfId="638"/>
    <cellStyle name="PSChar 10" xfId="639"/>
    <cellStyle name="PSChar 11" xfId="640"/>
    <cellStyle name="PSChar 12" xfId="641"/>
    <cellStyle name="PSChar 13" xfId="642"/>
    <cellStyle name="PSChar 14" xfId="643"/>
    <cellStyle name="PSChar 15" xfId="644"/>
    <cellStyle name="PSChar 16" xfId="645"/>
    <cellStyle name="PSChar 17" xfId="646"/>
    <cellStyle name="PSChar 18" xfId="647"/>
    <cellStyle name="PSChar 19" xfId="648"/>
    <cellStyle name="PSChar 2" xfId="649"/>
    <cellStyle name="PSChar 20" xfId="650"/>
    <cellStyle name="PSChar 21" xfId="651"/>
    <cellStyle name="PSChar 22" xfId="652"/>
    <cellStyle name="PSChar 23" xfId="653"/>
    <cellStyle name="PSChar 24" xfId="654"/>
    <cellStyle name="PSChar 25" xfId="655"/>
    <cellStyle name="PSChar 26" xfId="656"/>
    <cellStyle name="PSChar 27" xfId="657"/>
    <cellStyle name="PSChar 3" xfId="658"/>
    <cellStyle name="PSChar 4" xfId="659"/>
    <cellStyle name="PSChar 5" xfId="660"/>
    <cellStyle name="PSChar 6" xfId="661"/>
    <cellStyle name="PSChar 7" xfId="662"/>
    <cellStyle name="PSChar 8" xfId="663"/>
    <cellStyle name="PSChar 9" xfId="664"/>
    <cellStyle name="Title 2" xfId="665"/>
    <cellStyle name="Title 2 10" xfId="666"/>
    <cellStyle name="Title 2 11" xfId="667"/>
    <cellStyle name="Title 2 2" xfId="668"/>
    <cellStyle name="Title 2 3" xfId="669"/>
    <cellStyle name="Title 2 4" xfId="670"/>
    <cellStyle name="Title 2 5" xfId="671"/>
    <cellStyle name="Title 2 6" xfId="672"/>
    <cellStyle name="Title 2 7" xfId="673"/>
    <cellStyle name="Title 2 8" xfId="674"/>
    <cellStyle name="Title 2 9" xfId="675"/>
    <cellStyle name="Title 3" xfId="676"/>
    <cellStyle name="Total 2" xfId="677"/>
    <cellStyle name="Total 2 10" xfId="678"/>
    <cellStyle name="Total 2 11" xfId="679"/>
    <cellStyle name="Total 2 2" xfId="680"/>
    <cellStyle name="Total 2 3" xfId="681"/>
    <cellStyle name="Total 2 4" xfId="682"/>
    <cellStyle name="Total 2 5" xfId="683"/>
    <cellStyle name="Total 2 6" xfId="684"/>
    <cellStyle name="Total 2 7" xfId="685"/>
    <cellStyle name="Total 2 8" xfId="686"/>
    <cellStyle name="Total 2 9" xfId="687"/>
    <cellStyle name="Warning Text 2" xfId="688"/>
    <cellStyle name="Warning Text 2 10" xfId="689"/>
    <cellStyle name="Warning Text 2 11" xfId="690"/>
    <cellStyle name="Warning Text 2 2" xfId="691"/>
    <cellStyle name="Warning Text 2 3" xfId="692"/>
    <cellStyle name="Warning Text 2 4" xfId="693"/>
    <cellStyle name="Warning Text 2 5" xfId="694"/>
    <cellStyle name="Warning Text 2 6" xfId="695"/>
    <cellStyle name="Warning Text 2 7" xfId="696"/>
    <cellStyle name="Warning Text 2 8" xfId="697"/>
    <cellStyle name="Warning Text 2 9" xfId="698"/>
  </cellStyles>
  <dxfs count="1">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showGridLines="0" tabSelected="1" zoomScaleNormal="100" workbookViewId="0"/>
  </sheetViews>
  <sheetFormatPr defaultColWidth="47.7109375" defaultRowHeight="12.75" x14ac:dyDescent="0.2"/>
  <cols>
    <col min="1" max="1" width="44.7109375" style="1" bestFit="1" customWidth="1"/>
    <col min="2" max="2" width="5.28515625" style="2" bestFit="1" customWidth="1"/>
    <col min="3" max="3" width="5.7109375" style="2" customWidth="1"/>
    <col min="4" max="4" width="7.28515625" style="1" bestFit="1" customWidth="1"/>
    <col min="5" max="5" width="63.28515625" style="4" customWidth="1"/>
    <col min="6" max="16" width="14.7109375" style="4" customWidth="1"/>
    <col min="17" max="16384" width="47.7109375" style="1"/>
  </cols>
  <sheetData>
    <row r="1" spans="1:16" x14ac:dyDescent="0.2">
      <c r="A1" s="3" t="s">
        <v>231</v>
      </c>
      <c r="B1" s="12"/>
      <c r="C1" s="12"/>
      <c r="D1" s="13"/>
      <c r="E1" s="28"/>
    </row>
    <row r="2" spans="1:16" x14ac:dyDescent="0.2">
      <c r="A2" s="13"/>
      <c r="B2" s="12"/>
      <c r="C2" s="12"/>
      <c r="D2" s="13"/>
      <c r="E2" s="29"/>
    </row>
    <row r="3" spans="1:16" ht="38.25" x14ac:dyDescent="0.2">
      <c r="A3" s="25" t="s">
        <v>230</v>
      </c>
      <c r="B3" s="25" t="s">
        <v>148</v>
      </c>
      <c r="C3" s="25" t="s">
        <v>156</v>
      </c>
      <c r="D3" s="25" t="s">
        <v>90</v>
      </c>
      <c r="E3" s="25" t="s">
        <v>91</v>
      </c>
      <c r="F3" s="26" t="s">
        <v>218</v>
      </c>
      <c r="G3" s="26" t="s">
        <v>219</v>
      </c>
      <c r="H3" s="26" t="s">
        <v>220</v>
      </c>
      <c r="I3" s="26" t="s">
        <v>228</v>
      </c>
      <c r="J3" s="26" t="s">
        <v>229</v>
      </c>
      <c r="K3" s="27" t="s">
        <v>221</v>
      </c>
      <c r="L3" s="27" t="s">
        <v>222</v>
      </c>
      <c r="M3" s="27" t="s">
        <v>223</v>
      </c>
      <c r="N3" s="27" t="s">
        <v>224</v>
      </c>
      <c r="O3" s="27" t="s">
        <v>225</v>
      </c>
      <c r="P3" s="27" t="s">
        <v>226</v>
      </c>
    </row>
    <row r="4" spans="1:16" x14ac:dyDescent="0.2">
      <c r="A4" s="5" t="s">
        <v>164</v>
      </c>
      <c r="B4" s="14">
        <v>1</v>
      </c>
      <c r="C4" s="14">
        <f>B4+D4-1</f>
        <v>9</v>
      </c>
      <c r="D4" s="14">
        <v>9</v>
      </c>
      <c r="E4" s="5" t="s">
        <v>159</v>
      </c>
      <c r="F4" s="30" t="s">
        <v>227</v>
      </c>
      <c r="G4" s="30" t="s">
        <v>227</v>
      </c>
      <c r="H4" s="31"/>
      <c r="I4" s="30" t="s">
        <v>227</v>
      </c>
      <c r="J4" s="30" t="s">
        <v>227</v>
      </c>
      <c r="K4" s="30" t="s">
        <v>227</v>
      </c>
      <c r="L4" s="30" t="s">
        <v>227</v>
      </c>
      <c r="M4" s="30" t="s">
        <v>227</v>
      </c>
      <c r="N4" s="30" t="s">
        <v>227</v>
      </c>
      <c r="O4" s="30" t="s">
        <v>227</v>
      </c>
      <c r="P4" s="30" t="s">
        <v>227</v>
      </c>
    </row>
    <row r="5" spans="1:16" ht="25.5" x14ac:dyDescent="0.2">
      <c r="A5" s="6" t="s">
        <v>165</v>
      </c>
      <c r="B5" s="14">
        <f>C4+1</f>
        <v>10</v>
      </c>
      <c r="C5" s="14">
        <f t="shared" ref="C5:C61" si="0">B5+D5-1</f>
        <v>39</v>
      </c>
      <c r="D5" s="16">
        <v>30</v>
      </c>
      <c r="E5" s="6" t="s">
        <v>20</v>
      </c>
      <c r="F5" s="30" t="s">
        <v>227</v>
      </c>
      <c r="G5" s="30" t="s">
        <v>227</v>
      </c>
      <c r="H5" s="30" t="s">
        <v>227</v>
      </c>
      <c r="I5" s="30" t="s">
        <v>227</v>
      </c>
      <c r="J5" s="30" t="s">
        <v>227</v>
      </c>
      <c r="K5" s="30"/>
      <c r="L5" s="30"/>
      <c r="M5" s="30" t="s">
        <v>227</v>
      </c>
      <c r="N5" s="30" t="s">
        <v>227</v>
      </c>
      <c r="O5" s="30"/>
      <c r="P5" s="30"/>
    </row>
    <row r="6" spans="1:16" ht="38.25" x14ac:dyDescent="0.2">
      <c r="A6" s="5" t="s">
        <v>166</v>
      </c>
      <c r="B6" s="14">
        <f t="shared" ref="B6:B64" si="1">C5+1</f>
        <v>40</v>
      </c>
      <c r="C6" s="14">
        <f t="shared" si="0"/>
        <v>69</v>
      </c>
      <c r="D6" s="14">
        <v>30</v>
      </c>
      <c r="E6" s="5" t="s">
        <v>160</v>
      </c>
      <c r="F6" s="30" t="s">
        <v>227</v>
      </c>
      <c r="G6" s="30" t="s">
        <v>227</v>
      </c>
      <c r="H6" s="30" t="s">
        <v>227</v>
      </c>
      <c r="I6" s="30" t="s">
        <v>227</v>
      </c>
      <c r="J6" s="30" t="s">
        <v>227</v>
      </c>
      <c r="K6" s="30"/>
      <c r="L6" s="30"/>
      <c r="M6" s="30" t="s">
        <v>227</v>
      </c>
      <c r="N6" s="30" t="s">
        <v>227</v>
      </c>
      <c r="O6" s="30"/>
      <c r="P6" s="30"/>
    </row>
    <row r="7" spans="1:16" ht="38.25" x14ac:dyDescent="0.2">
      <c r="A7" s="5" t="s">
        <v>167</v>
      </c>
      <c r="B7" s="14">
        <f t="shared" si="1"/>
        <v>70</v>
      </c>
      <c r="C7" s="14">
        <f t="shared" si="0"/>
        <v>85</v>
      </c>
      <c r="D7" s="14">
        <v>16</v>
      </c>
      <c r="E7" s="5" t="s">
        <v>161</v>
      </c>
      <c r="F7" s="30" t="s">
        <v>227</v>
      </c>
      <c r="G7" s="30" t="s">
        <v>227</v>
      </c>
      <c r="H7" s="30" t="s">
        <v>227</v>
      </c>
      <c r="I7" s="30" t="s">
        <v>227</v>
      </c>
      <c r="J7" s="30" t="s">
        <v>227</v>
      </c>
      <c r="K7" s="30"/>
      <c r="L7" s="30"/>
      <c r="M7" s="30" t="s">
        <v>227</v>
      </c>
      <c r="N7" s="30" t="s">
        <v>227</v>
      </c>
      <c r="O7" s="30"/>
      <c r="P7" s="30"/>
    </row>
    <row r="8" spans="1:16" ht="25.5" x14ac:dyDescent="0.2">
      <c r="A8" s="5" t="s">
        <v>168</v>
      </c>
      <c r="B8" s="14">
        <f t="shared" si="1"/>
        <v>86</v>
      </c>
      <c r="C8" s="14">
        <f t="shared" si="0"/>
        <v>87</v>
      </c>
      <c r="D8" s="14">
        <v>2</v>
      </c>
      <c r="E8" s="5" t="s">
        <v>162</v>
      </c>
      <c r="F8" s="30" t="s">
        <v>227</v>
      </c>
      <c r="G8" s="30" t="s">
        <v>227</v>
      </c>
      <c r="H8" s="30" t="s">
        <v>227</v>
      </c>
      <c r="I8" s="30" t="s">
        <v>227</v>
      </c>
      <c r="J8" s="30" t="s">
        <v>227</v>
      </c>
      <c r="K8" s="30"/>
      <c r="L8" s="30"/>
      <c r="M8" s="30" t="s">
        <v>227</v>
      </c>
      <c r="N8" s="30" t="s">
        <v>227</v>
      </c>
      <c r="O8" s="30"/>
      <c r="P8" s="30"/>
    </row>
    <row r="9" spans="1:16" x14ac:dyDescent="0.2">
      <c r="A9" s="5" t="s">
        <v>169</v>
      </c>
      <c r="B9" s="14">
        <f t="shared" si="1"/>
        <v>88</v>
      </c>
      <c r="C9" s="14">
        <f t="shared" si="0"/>
        <v>92</v>
      </c>
      <c r="D9" s="14">
        <v>5</v>
      </c>
      <c r="E9" s="5" t="s">
        <v>163</v>
      </c>
      <c r="F9" s="30" t="s">
        <v>227</v>
      </c>
      <c r="G9" s="30" t="s">
        <v>227</v>
      </c>
      <c r="H9" s="30" t="s">
        <v>227</v>
      </c>
      <c r="I9" s="30" t="s">
        <v>227</v>
      </c>
      <c r="J9" s="30" t="s">
        <v>227</v>
      </c>
      <c r="K9" s="30"/>
      <c r="L9" s="30"/>
      <c r="M9" s="30" t="s">
        <v>227</v>
      </c>
      <c r="N9" s="30" t="s">
        <v>227</v>
      </c>
      <c r="O9" s="30"/>
      <c r="P9" s="30"/>
    </row>
    <row r="10" spans="1:16" ht="25.5" x14ac:dyDescent="0.2">
      <c r="A10" s="5" t="s">
        <v>170</v>
      </c>
      <c r="B10" s="14">
        <f t="shared" si="1"/>
        <v>93</v>
      </c>
      <c r="C10" s="14">
        <f t="shared" si="0"/>
        <v>96</v>
      </c>
      <c r="D10" s="14">
        <v>4</v>
      </c>
      <c r="E10" s="5" t="s">
        <v>21</v>
      </c>
      <c r="F10" s="30" t="s">
        <v>227</v>
      </c>
      <c r="G10" s="30" t="s">
        <v>227</v>
      </c>
      <c r="H10" s="30" t="s">
        <v>227</v>
      </c>
      <c r="I10" s="30" t="s">
        <v>227</v>
      </c>
      <c r="J10" s="30" t="s">
        <v>227</v>
      </c>
      <c r="K10" s="30"/>
      <c r="L10" s="30"/>
      <c r="M10" s="30" t="s">
        <v>227</v>
      </c>
      <c r="N10" s="30" t="s">
        <v>227</v>
      </c>
      <c r="O10" s="30"/>
      <c r="P10" s="30"/>
    </row>
    <row r="11" spans="1:16" ht="25.5" x14ac:dyDescent="0.2">
      <c r="A11" s="5" t="s">
        <v>171</v>
      </c>
      <c r="B11" s="14">
        <f t="shared" si="1"/>
        <v>97</v>
      </c>
      <c r="C11" s="14">
        <f t="shared" si="0"/>
        <v>98</v>
      </c>
      <c r="D11" s="14">
        <v>2</v>
      </c>
      <c r="E11" s="5" t="s">
        <v>172</v>
      </c>
      <c r="F11" s="30" t="s">
        <v>227</v>
      </c>
      <c r="G11" s="30" t="s">
        <v>227</v>
      </c>
      <c r="H11" s="30" t="s">
        <v>227</v>
      </c>
      <c r="I11" s="30" t="s">
        <v>227</v>
      </c>
      <c r="J11" s="30" t="s">
        <v>227</v>
      </c>
      <c r="K11" s="30"/>
      <c r="L11" s="30"/>
      <c r="M11" s="30" t="s">
        <v>227</v>
      </c>
      <c r="N11" s="30"/>
      <c r="O11" s="30"/>
      <c r="P11" s="30"/>
    </row>
    <row r="12" spans="1:16" ht="25.5" x14ac:dyDescent="0.2">
      <c r="A12" s="5" t="s">
        <v>147</v>
      </c>
      <c r="B12" s="14">
        <f t="shared" si="1"/>
        <v>99</v>
      </c>
      <c r="C12" s="14">
        <f t="shared" si="0"/>
        <v>101</v>
      </c>
      <c r="D12" s="14">
        <v>3</v>
      </c>
      <c r="E12" s="5" t="s">
        <v>173</v>
      </c>
      <c r="F12" s="30" t="s">
        <v>227</v>
      </c>
      <c r="G12" s="30" t="s">
        <v>227</v>
      </c>
      <c r="H12" s="30" t="s">
        <v>227</v>
      </c>
      <c r="I12" s="30" t="s">
        <v>227</v>
      </c>
      <c r="J12" s="30" t="s">
        <v>227</v>
      </c>
      <c r="K12" s="30"/>
      <c r="L12" s="30"/>
      <c r="M12" s="30" t="s">
        <v>227</v>
      </c>
      <c r="N12" s="30"/>
      <c r="O12" s="30"/>
      <c r="P12" s="30"/>
    </row>
    <row r="13" spans="1:16" ht="25.5" x14ac:dyDescent="0.2">
      <c r="A13" s="5" t="s">
        <v>210</v>
      </c>
      <c r="B13" s="14">
        <f t="shared" si="1"/>
        <v>102</v>
      </c>
      <c r="C13" s="14">
        <f t="shared" si="0"/>
        <v>105</v>
      </c>
      <c r="D13" s="14">
        <v>4</v>
      </c>
      <c r="E13" s="5" t="s">
        <v>211</v>
      </c>
      <c r="F13" s="30" t="s">
        <v>227</v>
      </c>
      <c r="G13" s="30" t="s">
        <v>227</v>
      </c>
      <c r="H13" s="30" t="s">
        <v>227</v>
      </c>
      <c r="I13" s="30" t="s">
        <v>227</v>
      </c>
      <c r="J13" s="30" t="s">
        <v>227</v>
      </c>
      <c r="K13" s="30"/>
      <c r="L13" s="30"/>
      <c r="M13" s="30" t="s">
        <v>227</v>
      </c>
      <c r="N13" s="30"/>
      <c r="O13" s="30"/>
      <c r="P13" s="30"/>
    </row>
    <row r="14" spans="1:16" ht="51" x14ac:dyDescent="0.2">
      <c r="A14" s="5" t="s">
        <v>155</v>
      </c>
      <c r="B14" s="14">
        <f t="shared" si="1"/>
        <v>106</v>
      </c>
      <c r="C14" s="14">
        <f t="shared" si="0"/>
        <v>110</v>
      </c>
      <c r="D14" s="14">
        <v>5</v>
      </c>
      <c r="E14" s="5" t="s">
        <v>193</v>
      </c>
      <c r="F14" s="30"/>
      <c r="G14" s="30" t="s">
        <v>227</v>
      </c>
      <c r="H14" s="30"/>
      <c r="I14" s="30"/>
      <c r="J14" s="30"/>
      <c r="K14" s="30"/>
      <c r="L14" s="30"/>
      <c r="M14" s="30" t="s">
        <v>227</v>
      </c>
      <c r="N14" s="30"/>
      <c r="O14" s="30"/>
      <c r="P14" s="30"/>
    </row>
    <row r="15" spans="1:16" x14ac:dyDescent="0.2">
      <c r="A15" s="5" t="s">
        <v>177</v>
      </c>
      <c r="B15" s="14">
        <f t="shared" si="1"/>
        <v>111</v>
      </c>
      <c r="C15" s="14">
        <f t="shared" si="0"/>
        <v>126</v>
      </c>
      <c r="D15" s="14">
        <v>16</v>
      </c>
      <c r="E15" s="5" t="s">
        <v>176</v>
      </c>
      <c r="F15" s="30"/>
      <c r="G15" s="30" t="s">
        <v>227</v>
      </c>
      <c r="H15" s="30"/>
      <c r="I15" s="30"/>
      <c r="J15" s="30"/>
      <c r="K15" s="30"/>
      <c r="L15" s="30"/>
      <c r="M15" s="30" t="s">
        <v>227</v>
      </c>
      <c r="N15" s="30"/>
      <c r="O15" s="30"/>
      <c r="P15" s="30"/>
    </row>
    <row r="16" spans="1:16" ht="51" x14ac:dyDescent="0.2">
      <c r="A16" s="5" t="s">
        <v>174</v>
      </c>
      <c r="B16" s="14">
        <f t="shared" si="1"/>
        <v>127</v>
      </c>
      <c r="C16" s="14">
        <f t="shared" si="0"/>
        <v>127</v>
      </c>
      <c r="D16" s="14">
        <v>1</v>
      </c>
      <c r="E16" s="5" t="s">
        <v>192</v>
      </c>
      <c r="F16" s="30"/>
      <c r="G16" s="30" t="s">
        <v>227</v>
      </c>
      <c r="H16" s="30"/>
      <c r="I16" s="30"/>
      <c r="J16" s="30"/>
      <c r="K16" s="30"/>
      <c r="L16" s="30"/>
      <c r="M16" s="30" t="s">
        <v>227</v>
      </c>
      <c r="N16" s="30"/>
      <c r="O16" s="30"/>
      <c r="P16" s="30"/>
    </row>
    <row r="17" spans="1:16" x14ac:dyDescent="0.2">
      <c r="A17" s="5" t="s">
        <v>0</v>
      </c>
      <c r="B17" s="14">
        <f t="shared" si="1"/>
        <v>128</v>
      </c>
      <c r="C17" s="14">
        <f t="shared" si="0"/>
        <v>130</v>
      </c>
      <c r="D17" s="14">
        <v>3</v>
      </c>
      <c r="E17" s="5" t="s">
        <v>175</v>
      </c>
      <c r="F17" s="30"/>
      <c r="G17" s="30" t="s">
        <v>227</v>
      </c>
      <c r="H17" s="30"/>
      <c r="I17" s="30"/>
      <c r="J17" s="30"/>
      <c r="K17" s="30"/>
      <c r="L17" s="30"/>
      <c r="M17" s="30" t="s">
        <v>227</v>
      </c>
      <c r="N17" s="30"/>
      <c r="O17" s="30"/>
      <c r="P17" s="30"/>
    </row>
    <row r="18" spans="1:16" ht="89.25" x14ac:dyDescent="0.2">
      <c r="A18" s="5" t="s">
        <v>1</v>
      </c>
      <c r="B18" s="14">
        <f t="shared" si="1"/>
        <v>131</v>
      </c>
      <c r="C18" s="14">
        <f t="shared" si="0"/>
        <v>134</v>
      </c>
      <c r="D18" s="14">
        <v>4</v>
      </c>
      <c r="E18" s="5" t="s">
        <v>2</v>
      </c>
      <c r="F18" s="30" t="s">
        <v>227</v>
      </c>
      <c r="G18" s="30" t="s">
        <v>227</v>
      </c>
      <c r="H18" s="30" t="s">
        <v>227</v>
      </c>
      <c r="I18" s="30" t="s">
        <v>227</v>
      </c>
      <c r="J18" s="30" t="s">
        <v>227</v>
      </c>
      <c r="K18" s="30"/>
      <c r="L18" s="30"/>
      <c r="M18" s="30" t="s">
        <v>227</v>
      </c>
      <c r="N18" s="30"/>
      <c r="O18" s="30"/>
      <c r="P18" s="30"/>
    </row>
    <row r="19" spans="1:16" ht="102" x14ac:dyDescent="0.2">
      <c r="A19" s="5" t="s">
        <v>47</v>
      </c>
      <c r="B19" s="14">
        <f t="shared" si="1"/>
        <v>135</v>
      </c>
      <c r="C19" s="14">
        <f t="shared" si="0"/>
        <v>136</v>
      </c>
      <c r="D19" s="14">
        <v>2</v>
      </c>
      <c r="E19" s="5" t="s">
        <v>190</v>
      </c>
      <c r="F19" s="30"/>
      <c r="G19" s="30" t="s">
        <v>227</v>
      </c>
      <c r="H19" s="30"/>
      <c r="I19" s="30"/>
      <c r="J19" s="30"/>
      <c r="K19" s="30"/>
      <c r="L19" s="30"/>
      <c r="M19" s="30" t="s">
        <v>227</v>
      </c>
      <c r="N19" s="30"/>
      <c r="O19" s="30"/>
      <c r="P19" s="30"/>
    </row>
    <row r="20" spans="1:16" x14ac:dyDescent="0.2">
      <c r="A20" s="5" t="s">
        <v>180</v>
      </c>
      <c r="B20" s="14">
        <f t="shared" si="1"/>
        <v>137</v>
      </c>
      <c r="C20" s="14">
        <f t="shared" si="0"/>
        <v>138</v>
      </c>
      <c r="D20" s="14">
        <v>2</v>
      </c>
      <c r="E20" s="5" t="s">
        <v>22</v>
      </c>
      <c r="F20" s="30"/>
      <c r="G20" s="30" t="s">
        <v>227</v>
      </c>
      <c r="H20" s="30"/>
      <c r="I20" s="30"/>
      <c r="J20" s="30"/>
      <c r="K20" s="30"/>
      <c r="L20" s="30"/>
      <c r="M20" s="30" t="s">
        <v>227</v>
      </c>
      <c r="N20" s="30" t="s">
        <v>227</v>
      </c>
      <c r="O20" s="30"/>
      <c r="P20" s="30"/>
    </row>
    <row r="21" spans="1:16" ht="89.25" x14ac:dyDescent="0.2">
      <c r="A21" s="5" t="s">
        <v>178</v>
      </c>
      <c r="B21" s="14">
        <f t="shared" si="1"/>
        <v>139</v>
      </c>
      <c r="C21" s="14">
        <f t="shared" si="0"/>
        <v>139</v>
      </c>
      <c r="D21" s="14">
        <v>1</v>
      </c>
      <c r="E21" s="5" t="s">
        <v>179</v>
      </c>
      <c r="F21" s="30"/>
      <c r="G21" s="30" t="s">
        <v>227</v>
      </c>
      <c r="H21" s="30"/>
      <c r="I21" s="30"/>
      <c r="J21" s="30"/>
      <c r="K21" s="30"/>
      <c r="L21" s="30"/>
      <c r="M21" s="30" t="s">
        <v>227</v>
      </c>
      <c r="N21" s="30" t="s">
        <v>227</v>
      </c>
      <c r="O21" s="30"/>
      <c r="P21" s="30"/>
    </row>
    <row r="22" spans="1:16" x14ac:dyDescent="0.2">
      <c r="A22" s="5" t="s">
        <v>55</v>
      </c>
      <c r="B22" s="14">
        <f t="shared" si="1"/>
        <v>140</v>
      </c>
      <c r="C22" s="14">
        <f t="shared" si="0"/>
        <v>150</v>
      </c>
      <c r="D22" s="14">
        <v>11</v>
      </c>
      <c r="E22" s="5" t="s">
        <v>54</v>
      </c>
      <c r="F22" s="30"/>
      <c r="G22" s="30" t="s">
        <v>227</v>
      </c>
      <c r="H22" s="30"/>
      <c r="I22" s="30"/>
      <c r="J22" s="30"/>
      <c r="K22" s="30"/>
      <c r="L22" s="30"/>
      <c r="M22" s="30" t="s">
        <v>227</v>
      </c>
      <c r="N22" s="30"/>
      <c r="O22" s="30"/>
      <c r="P22" s="30"/>
    </row>
    <row r="23" spans="1:16" x14ac:dyDescent="0.2">
      <c r="A23" s="5" t="s">
        <v>56</v>
      </c>
      <c r="B23" s="14">
        <f t="shared" si="1"/>
        <v>151</v>
      </c>
      <c r="C23" s="14">
        <f t="shared" si="0"/>
        <v>161</v>
      </c>
      <c r="D23" s="14">
        <v>11</v>
      </c>
      <c r="E23" s="5" t="s">
        <v>191</v>
      </c>
      <c r="F23" s="30"/>
      <c r="G23" s="30" t="s">
        <v>227</v>
      </c>
      <c r="H23" s="30"/>
      <c r="I23" s="30"/>
      <c r="J23" s="30"/>
      <c r="K23" s="30"/>
      <c r="L23" s="30"/>
      <c r="M23" s="30" t="s">
        <v>227</v>
      </c>
      <c r="N23" s="30"/>
      <c r="O23" s="30"/>
      <c r="P23" s="30"/>
    </row>
    <row r="24" spans="1:16" s="11" customFormat="1" ht="25.5" x14ac:dyDescent="0.2">
      <c r="A24" s="5" t="s">
        <v>25</v>
      </c>
      <c r="B24" s="14">
        <f t="shared" si="1"/>
        <v>162</v>
      </c>
      <c r="C24" s="14">
        <f t="shared" si="0"/>
        <v>191</v>
      </c>
      <c r="D24" s="14">
        <v>30</v>
      </c>
      <c r="E24" s="5" t="s">
        <v>26</v>
      </c>
      <c r="F24" s="30"/>
      <c r="G24" s="30" t="s">
        <v>227</v>
      </c>
      <c r="H24" s="30"/>
      <c r="I24" s="30"/>
      <c r="J24" s="30"/>
      <c r="K24" s="30"/>
      <c r="L24" s="30"/>
      <c r="M24" s="30" t="s">
        <v>227</v>
      </c>
      <c r="N24" s="30"/>
      <c r="O24" s="30"/>
      <c r="P24" s="30"/>
    </row>
    <row r="25" spans="1:16" x14ac:dyDescent="0.2">
      <c r="A25" s="5" t="s">
        <v>27</v>
      </c>
      <c r="B25" s="14">
        <f t="shared" si="1"/>
        <v>192</v>
      </c>
      <c r="C25" s="14">
        <f t="shared" si="0"/>
        <v>207</v>
      </c>
      <c r="D25" s="14">
        <v>16</v>
      </c>
      <c r="E25" s="5" t="s">
        <v>28</v>
      </c>
      <c r="F25" s="30"/>
      <c r="G25" s="30" t="s">
        <v>227</v>
      </c>
      <c r="H25" s="30"/>
      <c r="I25" s="30"/>
      <c r="J25" s="30"/>
      <c r="K25" s="30"/>
      <c r="L25" s="30"/>
      <c r="M25" s="30" t="s">
        <v>227</v>
      </c>
      <c r="N25" s="30"/>
      <c r="O25" s="30"/>
      <c r="P25" s="30"/>
    </row>
    <row r="26" spans="1:16" ht="14.25" x14ac:dyDescent="0.2">
      <c r="A26" s="5" t="s">
        <v>29</v>
      </c>
      <c r="B26" s="14">
        <f t="shared" si="1"/>
        <v>208</v>
      </c>
      <c r="C26" s="14">
        <f t="shared" si="0"/>
        <v>209</v>
      </c>
      <c r="D26" s="14">
        <v>2</v>
      </c>
      <c r="E26" s="5" t="s">
        <v>185</v>
      </c>
      <c r="F26" s="30"/>
      <c r="G26" s="30" t="s">
        <v>227</v>
      </c>
      <c r="H26" s="30"/>
      <c r="I26" s="30"/>
      <c r="J26" s="30"/>
      <c r="K26" s="30"/>
      <c r="L26" s="30"/>
      <c r="M26" s="30" t="s">
        <v>227</v>
      </c>
      <c r="N26" s="30"/>
      <c r="O26" s="30"/>
      <c r="P26" s="30"/>
    </row>
    <row r="27" spans="1:16" ht="14.25" x14ac:dyDescent="0.2">
      <c r="A27" s="5" t="s">
        <v>30</v>
      </c>
      <c r="B27" s="14">
        <f t="shared" si="1"/>
        <v>210</v>
      </c>
      <c r="C27" s="14">
        <f t="shared" si="0"/>
        <v>214</v>
      </c>
      <c r="D27" s="14">
        <v>5</v>
      </c>
      <c r="E27" s="5" t="s">
        <v>186</v>
      </c>
      <c r="F27" s="30"/>
      <c r="G27" s="30" t="s">
        <v>227</v>
      </c>
      <c r="H27" s="30"/>
      <c r="I27" s="30"/>
      <c r="J27" s="30"/>
      <c r="K27" s="30"/>
      <c r="L27" s="30"/>
      <c r="M27" s="30" t="s">
        <v>227</v>
      </c>
      <c r="N27" s="30"/>
      <c r="O27" s="30"/>
      <c r="P27" s="30"/>
    </row>
    <row r="28" spans="1:16" x14ac:dyDescent="0.2">
      <c r="A28" s="5" t="s">
        <v>31</v>
      </c>
      <c r="B28" s="14">
        <f t="shared" si="1"/>
        <v>215</v>
      </c>
      <c r="C28" s="14">
        <f t="shared" si="0"/>
        <v>218</v>
      </c>
      <c r="D28" s="14">
        <v>4</v>
      </c>
      <c r="E28" s="5" t="s">
        <v>32</v>
      </c>
      <c r="F28" s="30"/>
      <c r="G28" s="30" t="s">
        <v>227</v>
      </c>
      <c r="H28" s="30"/>
      <c r="I28" s="30"/>
      <c r="J28" s="30"/>
      <c r="K28" s="30"/>
      <c r="L28" s="30"/>
      <c r="M28" s="30" t="s">
        <v>227</v>
      </c>
      <c r="N28" s="30"/>
      <c r="O28" s="30"/>
      <c r="P28" s="30"/>
    </row>
    <row r="29" spans="1:16" ht="25.5" x14ac:dyDescent="0.2">
      <c r="A29" s="5" t="s">
        <v>212</v>
      </c>
      <c r="B29" s="14">
        <f t="shared" si="1"/>
        <v>219</v>
      </c>
      <c r="C29" s="14">
        <f t="shared" si="0"/>
        <v>222</v>
      </c>
      <c r="D29" s="14">
        <v>4</v>
      </c>
      <c r="E29" s="5" t="s">
        <v>213</v>
      </c>
      <c r="F29" s="30"/>
      <c r="G29" s="30" t="s">
        <v>227</v>
      </c>
      <c r="H29" s="30"/>
      <c r="I29" s="30"/>
      <c r="J29" s="30"/>
      <c r="K29" s="30"/>
      <c r="L29" s="30"/>
      <c r="M29" s="30" t="s">
        <v>227</v>
      </c>
      <c r="N29" s="30"/>
      <c r="O29" s="30"/>
      <c r="P29" s="30"/>
    </row>
    <row r="30" spans="1:16" x14ac:dyDescent="0.2">
      <c r="A30" s="5" t="s">
        <v>23</v>
      </c>
      <c r="B30" s="14">
        <f t="shared" si="1"/>
        <v>223</v>
      </c>
      <c r="C30" s="14">
        <f t="shared" si="0"/>
        <v>224</v>
      </c>
      <c r="D30" s="14">
        <v>2</v>
      </c>
      <c r="E30" s="5" t="s">
        <v>24</v>
      </c>
      <c r="F30" s="30"/>
      <c r="G30" s="30" t="s">
        <v>227</v>
      </c>
      <c r="H30" s="30"/>
      <c r="I30" s="30"/>
      <c r="J30" s="30"/>
      <c r="K30" s="30"/>
      <c r="L30" s="30"/>
      <c r="M30" s="30" t="s">
        <v>227</v>
      </c>
      <c r="N30" s="30"/>
      <c r="O30" s="30"/>
      <c r="P30" s="30"/>
    </row>
    <row r="31" spans="1:16" ht="89.25" x14ac:dyDescent="0.2">
      <c r="A31" s="5" t="s">
        <v>3</v>
      </c>
      <c r="B31" s="14">
        <f t="shared" si="1"/>
        <v>225</v>
      </c>
      <c r="C31" s="14">
        <f t="shared" si="0"/>
        <v>225</v>
      </c>
      <c r="D31" s="14">
        <v>1</v>
      </c>
      <c r="E31" s="5" t="s">
        <v>4</v>
      </c>
      <c r="F31" s="30"/>
      <c r="G31" s="30" t="s">
        <v>227</v>
      </c>
      <c r="H31" s="30"/>
      <c r="I31" s="30"/>
      <c r="J31" s="30"/>
      <c r="K31" s="30"/>
      <c r="L31" s="30"/>
      <c r="M31" s="30" t="s">
        <v>227</v>
      </c>
      <c r="N31" s="30"/>
      <c r="O31" s="30"/>
      <c r="P31" s="30"/>
    </row>
    <row r="32" spans="1:16" ht="25.5" x14ac:dyDescent="0.2">
      <c r="A32" s="5" t="s">
        <v>5</v>
      </c>
      <c r="B32" s="14">
        <f t="shared" si="1"/>
        <v>226</v>
      </c>
      <c r="C32" s="14">
        <f t="shared" si="0"/>
        <v>235</v>
      </c>
      <c r="D32" s="14">
        <v>10</v>
      </c>
      <c r="E32" s="5" t="s">
        <v>6</v>
      </c>
      <c r="F32" s="30"/>
      <c r="G32" s="30" t="s">
        <v>227</v>
      </c>
      <c r="H32" s="30"/>
      <c r="I32" s="30"/>
      <c r="J32" s="30"/>
      <c r="K32" s="30" t="s">
        <v>227</v>
      </c>
      <c r="L32" s="30" t="s">
        <v>227</v>
      </c>
      <c r="M32" s="30" t="s">
        <v>227</v>
      </c>
      <c r="N32" s="30"/>
      <c r="O32" s="30" t="s">
        <v>227</v>
      </c>
      <c r="P32" s="30" t="s">
        <v>227</v>
      </c>
    </row>
    <row r="33" spans="1:16" x14ac:dyDescent="0.2">
      <c r="A33" s="5" t="s">
        <v>7</v>
      </c>
      <c r="B33" s="14">
        <f t="shared" si="1"/>
        <v>236</v>
      </c>
      <c r="C33" s="14">
        <f t="shared" si="0"/>
        <v>249</v>
      </c>
      <c r="D33" s="14">
        <v>14</v>
      </c>
      <c r="E33" s="5" t="s">
        <v>8</v>
      </c>
      <c r="F33" s="30" t="s">
        <v>227</v>
      </c>
      <c r="G33" s="30" t="s">
        <v>227</v>
      </c>
      <c r="H33" s="30" t="s">
        <v>227</v>
      </c>
      <c r="I33" s="30" t="s">
        <v>227</v>
      </c>
      <c r="J33" s="30" t="s">
        <v>227</v>
      </c>
      <c r="K33" s="30" t="s">
        <v>227</v>
      </c>
      <c r="L33" s="30" t="s">
        <v>227</v>
      </c>
      <c r="M33" s="30" t="s">
        <v>227</v>
      </c>
      <c r="N33" s="30"/>
      <c r="O33" s="30" t="s">
        <v>227</v>
      </c>
      <c r="P33" s="30" t="s">
        <v>227</v>
      </c>
    </row>
    <row r="34" spans="1:16" x14ac:dyDescent="0.2">
      <c r="A34" s="5" t="s">
        <v>9</v>
      </c>
      <c r="B34" s="14">
        <f t="shared" si="1"/>
        <v>250</v>
      </c>
      <c r="C34" s="14">
        <f t="shared" si="0"/>
        <v>260</v>
      </c>
      <c r="D34" s="14">
        <v>11</v>
      </c>
      <c r="E34" s="5" t="s">
        <v>10</v>
      </c>
      <c r="F34" s="30" t="s">
        <v>227</v>
      </c>
      <c r="G34" s="30" t="s">
        <v>227</v>
      </c>
      <c r="H34" s="30" t="s">
        <v>227</v>
      </c>
      <c r="I34" s="30" t="s">
        <v>227</v>
      </c>
      <c r="J34" s="30" t="s">
        <v>227</v>
      </c>
      <c r="K34" s="30" t="s">
        <v>227</v>
      </c>
      <c r="L34" s="30" t="s">
        <v>227</v>
      </c>
      <c r="M34" s="30" t="s">
        <v>227</v>
      </c>
      <c r="N34" s="30"/>
      <c r="O34" s="30" t="s">
        <v>227</v>
      </c>
      <c r="P34" s="30" t="s">
        <v>227</v>
      </c>
    </row>
    <row r="35" spans="1:16" ht="140.25" x14ac:dyDescent="0.2">
      <c r="A35" s="5" t="s">
        <v>11</v>
      </c>
      <c r="B35" s="14">
        <f t="shared" si="1"/>
        <v>261</v>
      </c>
      <c r="C35" s="14">
        <f t="shared" si="0"/>
        <v>263</v>
      </c>
      <c r="D35" s="14">
        <v>3</v>
      </c>
      <c r="E35" s="5" t="s">
        <v>75</v>
      </c>
      <c r="F35" s="30" t="s">
        <v>227</v>
      </c>
      <c r="G35" s="30" t="s">
        <v>227</v>
      </c>
      <c r="H35" s="30" t="s">
        <v>227</v>
      </c>
      <c r="I35" s="30" t="s">
        <v>227</v>
      </c>
      <c r="J35" s="30" t="s">
        <v>227</v>
      </c>
      <c r="K35" s="30" t="s">
        <v>227</v>
      </c>
      <c r="L35" s="30" t="s">
        <v>227</v>
      </c>
      <c r="M35" s="30" t="s">
        <v>227</v>
      </c>
      <c r="N35" s="30"/>
      <c r="O35" s="30" t="s">
        <v>227</v>
      </c>
      <c r="P35" s="30" t="s">
        <v>227</v>
      </c>
    </row>
    <row r="36" spans="1:16" ht="409.5" x14ac:dyDescent="0.2">
      <c r="A36" s="23" t="s">
        <v>76</v>
      </c>
      <c r="B36" s="14">
        <f t="shared" si="1"/>
        <v>264</v>
      </c>
      <c r="C36" s="14">
        <f t="shared" si="0"/>
        <v>264</v>
      </c>
      <c r="D36" s="14">
        <v>1</v>
      </c>
      <c r="E36" s="5" t="s">
        <v>77</v>
      </c>
      <c r="F36" s="30" t="s">
        <v>227</v>
      </c>
      <c r="G36" s="30" t="s">
        <v>227</v>
      </c>
      <c r="H36" s="30" t="s">
        <v>227</v>
      </c>
      <c r="I36" s="30" t="s">
        <v>227</v>
      </c>
      <c r="J36" s="30" t="s">
        <v>227</v>
      </c>
      <c r="K36" s="30" t="s">
        <v>227</v>
      </c>
      <c r="L36" s="30" t="s">
        <v>227</v>
      </c>
      <c r="M36" s="30" t="s">
        <v>227</v>
      </c>
      <c r="N36" s="30"/>
      <c r="O36" s="30" t="s">
        <v>227</v>
      </c>
      <c r="P36" s="30" t="s">
        <v>227</v>
      </c>
    </row>
    <row r="37" spans="1:16" ht="25.5" x14ac:dyDescent="0.2">
      <c r="A37" s="5" t="s">
        <v>92</v>
      </c>
      <c r="B37" s="14">
        <f t="shared" si="1"/>
        <v>265</v>
      </c>
      <c r="C37" s="14">
        <f t="shared" si="0"/>
        <v>270</v>
      </c>
      <c r="D37" s="14">
        <v>6</v>
      </c>
      <c r="E37" s="5" t="s">
        <v>49</v>
      </c>
      <c r="F37" s="30" t="s">
        <v>227</v>
      </c>
      <c r="G37" s="30" t="s">
        <v>227</v>
      </c>
      <c r="H37" s="30" t="s">
        <v>227</v>
      </c>
      <c r="I37" s="30" t="s">
        <v>227</v>
      </c>
      <c r="J37" s="30" t="s">
        <v>227</v>
      </c>
      <c r="K37" s="30"/>
      <c r="L37" s="30" t="s">
        <v>227</v>
      </c>
      <c r="M37" s="30" t="s">
        <v>227</v>
      </c>
      <c r="N37" s="30"/>
      <c r="O37" s="30" t="s">
        <v>227</v>
      </c>
      <c r="P37" s="30" t="s">
        <v>227</v>
      </c>
    </row>
    <row r="38" spans="1:16" x14ac:dyDescent="0.2">
      <c r="A38" s="6" t="s">
        <v>73</v>
      </c>
      <c r="B38" s="14">
        <f t="shared" si="1"/>
        <v>271</v>
      </c>
      <c r="C38" s="14">
        <f t="shared" si="0"/>
        <v>320</v>
      </c>
      <c r="D38" s="16">
        <v>50</v>
      </c>
      <c r="E38" s="6" t="s">
        <v>74</v>
      </c>
      <c r="F38" s="30" t="s">
        <v>227</v>
      </c>
      <c r="G38" s="30" t="s">
        <v>227</v>
      </c>
      <c r="H38" s="30" t="s">
        <v>227</v>
      </c>
      <c r="I38" s="30" t="s">
        <v>227</v>
      </c>
      <c r="J38" s="30" t="s">
        <v>227</v>
      </c>
      <c r="K38" s="30"/>
      <c r="L38" s="30" t="s">
        <v>227</v>
      </c>
      <c r="M38" s="30" t="s">
        <v>227</v>
      </c>
      <c r="N38" s="30"/>
      <c r="O38" s="30" t="s">
        <v>227</v>
      </c>
      <c r="P38" s="30" t="s">
        <v>227</v>
      </c>
    </row>
    <row r="39" spans="1:16" ht="38.25" x14ac:dyDescent="0.2">
      <c r="A39" s="5" t="s">
        <v>189</v>
      </c>
      <c r="B39" s="14">
        <f t="shared" si="1"/>
        <v>321</v>
      </c>
      <c r="C39" s="14">
        <f t="shared" si="0"/>
        <v>326</v>
      </c>
      <c r="D39" s="14">
        <v>6</v>
      </c>
      <c r="E39" s="5" t="s">
        <v>48</v>
      </c>
      <c r="F39" s="30" t="s">
        <v>227</v>
      </c>
      <c r="G39" s="30" t="s">
        <v>227</v>
      </c>
      <c r="H39" s="30" t="s">
        <v>227</v>
      </c>
      <c r="I39" s="30" t="s">
        <v>227</v>
      </c>
      <c r="J39" s="30" t="s">
        <v>227</v>
      </c>
      <c r="K39" s="30"/>
      <c r="L39" s="30"/>
      <c r="M39" s="30" t="s">
        <v>227</v>
      </c>
      <c r="N39" s="30"/>
      <c r="O39" s="30"/>
      <c r="P39" s="30"/>
    </row>
    <row r="40" spans="1:16" x14ac:dyDescent="0.2">
      <c r="A40" s="6" t="s">
        <v>71</v>
      </c>
      <c r="B40" s="14">
        <f t="shared" si="1"/>
        <v>327</v>
      </c>
      <c r="C40" s="14">
        <f t="shared" si="0"/>
        <v>376</v>
      </c>
      <c r="D40" s="16">
        <v>50</v>
      </c>
      <c r="E40" s="6" t="s">
        <v>72</v>
      </c>
      <c r="F40" s="30" t="s">
        <v>227</v>
      </c>
      <c r="G40" s="30" t="s">
        <v>227</v>
      </c>
      <c r="H40" s="30" t="s">
        <v>227</v>
      </c>
      <c r="I40" s="30" t="s">
        <v>227</v>
      </c>
      <c r="J40" s="30" t="s">
        <v>227</v>
      </c>
      <c r="K40" s="30"/>
      <c r="L40" s="30"/>
      <c r="M40" s="30" t="s">
        <v>227</v>
      </c>
      <c r="N40" s="30"/>
      <c r="O40" s="30"/>
      <c r="P40" s="30"/>
    </row>
    <row r="41" spans="1:16" ht="38.25" x14ac:dyDescent="0.2">
      <c r="A41" s="5" t="s">
        <v>51</v>
      </c>
      <c r="B41" s="14">
        <f t="shared" si="1"/>
        <v>377</v>
      </c>
      <c r="C41" s="14">
        <f t="shared" si="0"/>
        <v>384</v>
      </c>
      <c r="D41" s="14">
        <v>8</v>
      </c>
      <c r="E41" s="5" t="s">
        <v>50</v>
      </c>
      <c r="F41" s="30"/>
      <c r="G41" s="30" t="s">
        <v>227</v>
      </c>
      <c r="H41" s="30"/>
      <c r="I41" s="30"/>
      <c r="J41" s="30"/>
      <c r="K41" s="30"/>
      <c r="L41" s="30"/>
      <c r="M41" s="30" t="s">
        <v>227</v>
      </c>
      <c r="N41" s="30"/>
      <c r="O41" s="30"/>
      <c r="P41" s="30"/>
    </row>
    <row r="42" spans="1:16" x14ac:dyDescent="0.2">
      <c r="A42" s="5" t="s">
        <v>52</v>
      </c>
      <c r="B42" s="14">
        <f t="shared" si="1"/>
        <v>385</v>
      </c>
      <c r="C42" s="14">
        <f t="shared" si="0"/>
        <v>434</v>
      </c>
      <c r="D42" s="14">
        <v>50</v>
      </c>
      <c r="E42" s="5" t="s">
        <v>53</v>
      </c>
      <c r="F42" s="30"/>
      <c r="G42" s="30" t="s">
        <v>227</v>
      </c>
      <c r="H42" s="30"/>
      <c r="I42" s="30"/>
      <c r="J42" s="30"/>
      <c r="K42" s="30"/>
      <c r="L42" s="30"/>
      <c r="M42" s="30" t="s">
        <v>227</v>
      </c>
      <c r="N42" s="30"/>
      <c r="O42" s="30"/>
      <c r="P42" s="30"/>
    </row>
    <row r="43" spans="1:16" ht="165.75" x14ac:dyDescent="0.2">
      <c r="A43" s="24" t="s">
        <v>214</v>
      </c>
      <c r="B43" s="14">
        <f t="shared" si="1"/>
        <v>435</v>
      </c>
      <c r="C43" s="14">
        <f t="shared" si="0"/>
        <v>435</v>
      </c>
      <c r="D43" s="16">
        <v>1</v>
      </c>
      <c r="E43" s="6" t="s">
        <v>196</v>
      </c>
      <c r="F43" s="30" t="s">
        <v>227</v>
      </c>
      <c r="G43" s="30" t="s">
        <v>227</v>
      </c>
      <c r="H43" s="30" t="s">
        <v>227</v>
      </c>
      <c r="I43" s="30" t="s">
        <v>227</v>
      </c>
      <c r="J43" s="30" t="s">
        <v>227</v>
      </c>
      <c r="K43" s="30"/>
      <c r="L43" s="30" t="s">
        <v>227</v>
      </c>
      <c r="M43" s="30" t="s">
        <v>227</v>
      </c>
      <c r="N43" s="30"/>
      <c r="O43" s="30" t="s">
        <v>227</v>
      </c>
      <c r="P43" s="30" t="s">
        <v>227</v>
      </c>
    </row>
    <row r="44" spans="1:16" ht="63.75" x14ac:dyDescent="0.2">
      <c r="A44" s="7" t="s">
        <v>12</v>
      </c>
      <c r="B44" s="14">
        <f t="shared" si="1"/>
        <v>436</v>
      </c>
      <c r="C44" s="14">
        <f t="shared" si="0"/>
        <v>436</v>
      </c>
      <c r="D44" s="14">
        <v>1</v>
      </c>
      <c r="E44" s="5" t="s">
        <v>13</v>
      </c>
      <c r="F44" s="30"/>
      <c r="G44" s="30" t="s">
        <v>227</v>
      </c>
      <c r="H44" s="30"/>
      <c r="I44" s="30"/>
      <c r="J44" s="30"/>
      <c r="K44" s="30"/>
      <c r="L44" s="30"/>
      <c r="M44" s="30" t="s">
        <v>227</v>
      </c>
      <c r="N44" s="30"/>
      <c r="O44" s="30"/>
      <c r="P44" s="30"/>
    </row>
    <row r="45" spans="1:16" ht="25.5" x14ac:dyDescent="0.2">
      <c r="A45" s="5" t="s">
        <v>35</v>
      </c>
      <c r="B45" s="14">
        <f t="shared" si="1"/>
        <v>437</v>
      </c>
      <c r="C45" s="14">
        <f t="shared" si="0"/>
        <v>442</v>
      </c>
      <c r="D45" s="14">
        <v>6</v>
      </c>
      <c r="E45" s="5" t="s">
        <v>36</v>
      </c>
      <c r="F45" s="30" t="s">
        <v>227</v>
      </c>
      <c r="G45" s="30" t="s">
        <v>227</v>
      </c>
      <c r="H45" s="30" t="s">
        <v>227</v>
      </c>
      <c r="I45" s="30" t="s">
        <v>227</v>
      </c>
      <c r="J45" s="30" t="s">
        <v>227</v>
      </c>
      <c r="K45" s="30"/>
      <c r="L45" s="30"/>
      <c r="M45" s="30" t="s">
        <v>227</v>
      </c>
      <c r="N45" s="30"/>
      <c r="O45" s="30"/>
      <c r="P45" s="30"/>
    </row>
    <row r="46" spans="1:16" ht="165.75" x14ac:dyDescent="0.2">
      <c r="A46" s="7" t="s">
        <v>14</v>
      </c>
      <c r="B46" s="14">
        <f t="shared" si="1"/>
        <v>443</v>
      </c>
      <c r="C46" s="14">
        <f t="shared" si="0"/>
        <v>443</v>
      </c>
      <c r="D46" s="14">
        <v>1</v>
      </c>
      <c r="E46" s="5" t="s">
        <v>15</v>
      </c>
      <c r="F46" s="30" t="s">
        <v>227</v>
      </c>
      <c r="G46" s="30" t="s">
        <v>227</v>
      </c>
      <c r="H46" s="30" t="s">
        <v>227</v>
      </c>
      <c r="I46" s="30" t="s">
        <v>227</v>
      </c>
      <c r="J46" s="30" t="s">
        <v>227</v>
      </c>
      <c r="K46" s="30"/>
      <c r="L46" s="30" t="s">
        <v>227</v>
      </c>
      <c r="M46" s="30" t="s">
        <v>227</v>
      </c>
      <c r="N46" s="30"/>
      <c r="O46" s="30" t="s">
        <v>227</v>
      </c>
      <c r="P46" s="30" t="s">
        <v>227</v>
      </c>
    </row>
    <row r="47" spans="1:16" ht="25.5" x14ac:dyDescent="0.2">
      <c r="A47" s="5" t="s">
        <v>37</v>
      </c>
      <c r="B47" s="14">
        <f t="shared" si="1"/>
        <v>444</v>
      </c>
      <c r="C47" s="14">
        <f t="shared" si="0"/>
        <v>452</v>
      </c>
      <c r="D47" s="14">
        <v>9</v>
      </c>
      <c r="E47" s="5" t="s">
        <v>38</v>
      </c>
      <c r="F47" s="30" t="s">
        <v>227</v>
      </c>
      <c r="G47" s="30" t="s">
        <v>227</v>
      </c>
      <c r="H47" s="30" t="s">
        <v>227</v>
      </c>
      <c r="I47" s="30" t="s">
        <v>227</v>
      </c>
      <c r="J47" s="30" t="s">
        <v>227</v>
      </c>
      <c r="K47" s="30"/>
      <c r="L47" s="30"/>
      <c r="M47" s="30" t="s">
        <v>227</v>
      </c>
      <c r="N47" s="30"/>
      <c r="O47" s="30"/>
      <c r="P47" s="30"/>
    </row>
    <row r="48" spans="1:16" x14ac:dyDescent="0.2">
      <c r="A48" s="5" t="s">
        <v>39</v>
      </c>
      <c r="B48" s="14">
        <f t="shared" si="1"/>
        <v>453</v>
      </c>
      <c r="C48" s="14">
        <f t="shared" si="0"/>
        <v>461</v>
      </c>
      <c r="D48" s="14">
        <v>9</v>
      </c>
      <c r="E48" s="5" t="s">
        <v>65</v>
      </c>
      <c r="F48" s="30" t="s">
        <v>227</v>
      </c>
      <c r="G48" s="30" t="s">
        <v>227</v>
      </c>
      <c r="H48" s="30" t="s">
        <v>227</v>
      </c>
      <c r="I48" s="30" t="s">
        <v>227</v>
      </c>
      <c r="J48" s="30" t="s">
        <v>227</v>
      </c>
      <c r="K48" s="30"/>
      <c r="L48" s="30"/>
      <c r="M48" s="30" t="s">
        <v>227</v>
      </c>
      <c r="N48" s="30"/>
      <c r="O48" s="30"/>
      <c r="P48" s="30"/>
    </row>
    <row r="49" spans="1:16" ht="89.25" x14ac:dyDescent="0.2">
      <c r="A49" s="5" t="s">
        <v>41</v>
      </c>
      <c r="B49" s="14">
        <f t="shared" si="1"/>
        <v>462</v>
      </c>
      <c r="C49" s="14">
        <f t="shared" si="0"/>
        <v>462</v>
      </c>
      <c r="D49" s="14">
        <v>1</v>
      </c>
      <c r="E49" s="5" t="s">
        <v>42</v>
      </c>
      <c r="F49" s="30"/>
      <c r="G49" s="30" t="s">
        <v>227</v>
      </c>
      <c r="H49" s="30"/>
      <c r="I49" s="30"/>
      <c r="J49" s="30"/>
      <c r="K49" s="30"/>
      <c r="L49" s="30"/>
      <c r="M49" s="30" t="s">
        <v>227</v>
      </c>
      <c r="N49" s="30"/>
      <c r="O49" s="30"/>
      <c r="P49" s="30"/>
    </row>
    <row r="50" spans="1:16" ht="63.75" x14ac:dyDescent="0.2">
      <c r="A50" s="5" t="s">
        <v>44</v>
      </c>
      <c r="B50" s="14">
        <f t="shared" si="1"/>
        <v>463</v>
      </c>
      <c r="C50" s="14">
        <f t="shared" si="0"/>
        <v>463</v>
      </c>
      <c r="D50" s="14">
        <v>1</v>
      </c>
      <c r="E50" s="5" t="s">
        <v>43</v>
      </c>
      <c r="F50" s="30"/>
      <c r="G50" s="30" t="s">
        <v>227</v>
      </c>
      <c r="H50" s="30"/>
      <c r="I50" s="30"/>
      <c r="J50" s="30"/>
      <c r="K50" s="30"/>
      <c r="L50" s="30"/>
      <c r="M50" s="30" t="s">
        <v>227</v>
      </c>
      <c r="N50" s="30"/>
      <c r="O50" s="30"/>
      <c r="P50" s="30"/>
    </row>
    <row r="51" spans="1:16" ht="38.25" x14ac:dyDescent="0.2">
      <c r="A51" s="5" t="s">
        <v>45</v>
      </c>
      <c r="B51" s="14">
        <f t="shared" si="1"/>
        <v>464</v>
      </c>
      <c r="C51" s="14">
        <f t="shared" si="0"/>
        <v>467</v>
      </c>
      <c r="D51" s="14">
        <v>4</v>
      </c>
      <c r="E51" s="5" t="s">
        <v>46</v>
      </c>
      <c r="F51" s="30"/>
      <c r="G51" s="30" t="s">
        <v>227</v>
      </c>
      <c r="H51" s="30"/>
      <c r="I51" s="30"/>
      <c r="J51" s="30"/>
      <c r="K51" s="30"/>
      <c r="L51" s="30"/>
      <c r="M51" s="30" t="s">
        <v>227</v>
      </c>
      <c r="N51" s="30"/>
      <c r="O51" s="30"/>
      <c r="P51" s="30"/>
    </row>
    <row r="52" spans="1:16" x14ac:dyDescent="0.2">
      <c r="A52" s="17" t="s">
        <v>57</v>
      </c>
      <c r="B52" s="14">
        <f t="shared" si="1"/>
        <v>468</v>
      </c>
      <c r="C52" s="14">
        <f t="shared" si="0"/>
        <v>507</v>
      </c>
      <c r="D52" s="18">
        <v>40</v>
      </c>
      <c r="E52" s="19" t="s">
        <v>58</v>
      </c>
      <c r="F52" s="30"/>
      <c r="G52" s="30" t="s">
        <v>227</v>
      </c>
      <c r="H52" s="30"/>
      <c r="I52" s="30"/>
      <c r="J52" s="30"/>
      <c r="K52" s="30"/>
      <c r="L52" s="30"/>
      <c r="M52" s="30" t="s">
        <v>227</v>
      </c>
      <c r="N52" s="30"/>
      <c r="O52" s="30"/>
      <c r="P52" s="30"/>
    </row>
    <row r="53" spans="1:16" s="32" customFormat="1" x14ac:dyDescent="0.2">
      <c r="A53" s="6" t="s">
        <v>33</v>
      </c>
      <c r="B53" s="16">
        <f t="shared" si="1"/>
        <v>508</v>
      </c>
      <c r="C53" s="16">
        <f t="shared" si="0"/>
        <v>511</v>
      </c>
      <c r="D53" s="16">
        <v>4</v>
      </c>
      <c r="E53" s="6" t="s">
        <v>34</v>
      </c>
      <c r="F53" s="31"/>
      <c r="G53" s="31" t="s">
        <v>227</v>
      </c>
      <c r="H53" s="31"/>
      <c r="I53" s="31"/>
      <c r="J53" s="31"/>
      <c r="K53" s="31"/>
      <c r="L53" s="31"/>
      <c r="M53" s="31" t="s">
        <v>227</v>
      </c>
      <c r="N53" s="31"/>
      <c r="O53" s="31"/>
      <c r="P53" s="31"/>
    </row>
    <row r="54" spans="1:16" s="32" customFormat="1" ht="176.25" customHeight="1" x14ac:dyDescent="0.2">
      <c r="A54" s="6" t="s">
        <v>216</v>
      </c>
      <c r="B54" s="16">
        <f t="shared" si="1"/>
        <v>512</v>
      </c>
      <c r="C54" s="16">
        <f t="shared" si="0"/>
        <v>512</v>
      </c>
      <c r="D54" s="16">
        <v>1</v>
      </c>
      <c r="E54" s="40" t="s">
        <v>364</v>
      </c>
      <c r="F54" s="31"/>
      <c r="G54" s="31" t="s">
        <v>227</v>
      </c>
      <c r="H54" s="31"/>
      <c r="I54" s="31"/>
      <c r="J54" s="31"/>
      <c r="K54" s="31" t="s">
        <v>227</v>
      </c>
      <c r="L54" s="31" t="s">
        <v>227</v>
      </c>
      <c r="M54" s="31" t="s">
        <v>227</v>
      </c>
      <c r="N54" s="31" t="s">
        <v>227</v>
      </c>
      <c r="O54" s="31" t="s">
        <v>227</v>
      </c>
      <c r="P54" s="31" t="s">
        <v>227</v>
      </c>
    </row>
    <row r="55" spans="1:16" s="32" customFormat="1" x14ac:dyDescent="0.2">
      <c r="A55" s="6" t="s">
        <v>217</v>
      </c>
      <c r="B55" s="16">
        <f t="shared" si="1"/>
        <v>513</v>
      </c>
      <c r="C55" s="16">
        <f t="shared" si="0"/>
        <v>515</v>
      </c>
      <c r="D55" s="16">
        <v>3</v>
      </c>
      <c r="E55" s="40" t="s">
        <v>363</v>
      </c>
      <c r="F55" s="31"/>
      <c r="G55" s="31" t="s">
        <v>227</v>
      </c>
      <c r="H55" s="31"/>
      <c r="I55" s="31"/>
      <c r="J55" s="31"/>
      <c r="K55" s="31" t="s">
        <v>227</v>
      </c>
      <c r="L55" s="31" t="s">
        <v>227</v>
      </c>
      <c r="M55" s="31" t="s">
        <v>227</v>
      </c>
      <c r="N55" s="31" t="s">
        <v>227</v>
      </c>
      <c r="O55" s="31" t="s">
        <v>227</v>
      </c>
      <c r="P55" s="31" t="s">
        <v>227</v>
      </c>
    </row>
    <row r="56" spans="1:16" s="36" customFormat="1" ht="38.25" x14ac:dyDescent="0.2">
      <c r="A56" s="34" t="s">
        <v>62</v>
      </c>
      <c r="B56" s="16">
        <f t="shared" si="1"/>
        <v>516</v>
      </c>
      <c r="C56" s="16">
        <f t="shared" si="0"/>
        <v>519</v>
      </c>
      <c r="D56" s="35">
        <v>4</v>
      </c>
      <c r="E56" s="33" t="s">
        <v>63</v>
      </c>
      <c r="F56" s="31"/>
      <c r="G56" s="31" t="s">
        <v>227</v>
      </c>
      <c r="H56" s="31"/>
      <c r="I56" s="31"/>
      <c r="J56" s="31"/>
      <c r="K56" s="31"/>
      <c r="L56" s="31"/>
      <c r="M56" s="31" t="s">
        <v>227</v>
      </c>
      <c r="N56" s="31"/>
      <c r="O56" s="31"/>
      <c r="P56" s="31"/>
    </row>
    <row r="57" spans="1:16" s="32" customFormat="1" ht="51" x14ac:dyDescent="0.2">
      <c r="A57" s="6" t="s">
        <v>40</v>
      </c>
      <c r="B57" s="16">
        <f t="shared" si="1"/>
        <v>520</v>
      </c>
      <c r="C57" s="16">
        <f t="shared" si="0"/>
        <v>525</v>
      </c>
      <c r="D57" s="16">
        <v>6</v>
      </c>
      <c r="E57" s="6" t="s">
        <v>64</v>
      </c>
      <c r="F57" s="31"/>
      <c r="G57" s="31" t="s">
        <v>227</v>
      </c>
      <c r="H57" s="31"/>
      <c r="I57" s="31"/>
      <c r="J57" s="31"/>
      <c r="K57" s="31"/>
      <c r="L57" s="31"/>
      <c r="M57" s="31" t="s">
        <v>227</v>
      </c>
      <c r="N57" s="31"/>
      <c r="O57" s="31"/>
      <c r="P57" s="31"/>
    </row>
    <row r="58" spans="1:16" ht="25.5" x14ac:dyDescent="0.2">
      <c r="A58" s="20" t="s">
        <v>59</v>
      </c>
      <c r="B58" s="14">
        <f t="shared" si="1"/>
        <v>526</v>
      </c>
      <c r="C58" s="14">
        <f t="shared" si="0"/>
        <v>531</v>
      </c>
      <c r="D58" s="21">
        <v>6</v>
      </c>
      <c r="E58" s="22" t="s">
        <v>60</v>
      </c>
      <c r="F58" s="30"/>
      <c r="G58" s="30" t="s">
        <v>227</v>
      </c>
      <c r="H58" s="30"/>
      <c r="I58" s="30"/>
      <c r="J58" s="30"/>
      <c r="K58" s="30" t="s">
        <v>227</v>
      </c>
      <c r="L58" s="30" t="s">
        <v>227</v>
      </c>
      <c r="M58" s="30" t="s">
        <v>227</v>
      </c>
      <c r="N58" s="30" t="s">
        <v>227</v>
      </c>
      <c r="O58" s="30" t="s">
        <v>227</v>
      </c>
      <c r="P58" s="30" t="s">
        <v>227</v>
      </c>
    </row>
    <row r="59" spans="1:16" ht="382.5" x14ac:dyDescent="0.2">
      <c r="A59" s="20" t="s">
        <v>61</v>
      </c>
      <c r="B59" s="14">
        <f t="shared" si="1"/>
        <v>532</v>
      </c>
      <c r="C59" s="14">
        <f t="shared" si="0"/>
        <v>533</v>
      </c>
      <c r="D59" s="21">
        <v>2</v>
      </c>
      <c r="E59" s="97" t="s">
        <v>371</v>
      </c>
      <c r="F59" s="30"/>
      <c r="G59" s="30" t="s">
        <v>227</v>
      </c>
      <c r="H59" s="30"/>
      <c r="I59" s="30"/>
      <c r="J59" s="30"/>
      <c r="K59" s="30"/>
      <c r="L59" s="30"/>
      <c r="M59" s="30" t="s">
        <v>227</v>
      </c>
      <c r="N59" s="30"/>
      <c r="O59" s="30"/>
      <c r="P59" s="30"/>
    </row>
    <row r="60" spans="1:16" x14ac:dyDescent="0.2">
      <c r="A60" s="17" t="s">
        <v>158</v>
      </c>
      <c r="B60" s="14">
        <f t="shared" si="1"/>
        <v>534</v>
      </c>
      <c r="C60" s="14">
        <f t="shared" si="0"/>
        <v>563</v>
      </c>
      <c r="D60" s="18">
        <v>30</v>
      </c>
      <c r="E60" s="19"/>
      <c r="F60" s="30" t="s">
        <v>227</v>
      </c>
      <c r="G60" s="30" t="s">
        <v>227</v>
      </c>
      <c r="H60" s="30" t="s">
        <v>227</v>
      </c>
      <c r="I60" s="30" t="s">
        <v>227</v>
      </c>
      <c r="J60" s="30" t="s">
        <v>227</v>
      </c>
      <c r="K60" s="30"/>
      <c r="L60" s="30"/>
      <c r="M60" s="30" t="s">
        <v>227</v>
      </c>
      <c r="N60" s="30"/>
      <c r="O60" s="30"/>
      <c r="P60" s="30"/>
    </row>
    <row r="61" spans="1:16" x14ac:dyDescent="0.2">
      <c r="A61" s="17" t="s">
        <v>158</v>
      </c>
      <c r="B61" s="14">
        <f t="shared" si="1"/>
        <v>564</v>
      </c>
      <c r="C61" s="14">
        <f t="shared" si="0"/>
        <v>593</v>
      </c>
      <c r="D61" s="18">
        <v>30</v>
      </c>
      <c r="E61" s="19"/>
      <c r="F61" s="30" t="s">
        <v>227</v>
      </c>
      <c r="G61" s="30" t="s">
        <v>227</v>
      </c>
      <c r="H61" s="30" t="s">
        <v>227</v>
      </c>
      <c r="I61" s="30" t="s">
        <v>227</v>
      </c>
      <c r="J61" s="30" t="s">
        <v>227</v>
      </c>
      <c r="K61" s="30"/>
      <c r="L61" s="30"/>
      <c r="M61" s="30" t="s">
        <v>227</v>
      </c>
      <c r="N61" s="30"/>
      <c r="O61" s="30"/>
      <c r="P61" s="30"/>
    </row>
    <row r="62" spans="1:16" x14ac:dyDescent="0.2">
      <c r="A62" s="17" t="s">
        <v>201</v>
      </c>
      <c r="B62" s="14">
        <f t="shared" si="1"/>
        <v>594</v>
      </c>
      <c r="C62" s="14">
        <f t="shared" ref="C62:C67" si="2">B62+D62-1</f>
        <v>601</v>
      </c>
      <c r="D62" s="18">
        <v>8</v>
      </c>
      <c r="E62" s="19" t="s">
        <v>215</v>
      </c>
      <c r="F62" s="30"/>
      <c r="G62" s="30" t="s">
        <v>227</v>
      </c>
      <c r="H62" s="30"/>
      <c r="I62" s="30"/>
      <c r="J62" s="30"/>
      <c r="K62" s="30"/>
      <c r="L62" s="30"/>
      <c r="M62" s="30" t="s">
        <v>227</v>
      </c>
      <c r="N62" s="30"/>
      <c r="O62" s="30"/>
      <c r="P62" s="30"/>
    </row>
    <row r="63" spans="1:16" ht="63.75" x14ac:dyDescent="0.2">
      <c r="A63" s="20" t="s">
        <v>202</v>
      </c>
      <c r="B63" s="14">
        <f t="shared" si="1"/>
        <v>602</v>
      </c>
      <c r="C63" s="14">
        <f t="shared" si="2"/>
        <v>602</v>
      </c>
      <c r="D63" s="21">
        <v>1</v>
      </c>
      <c r="E63" s="19" t="s">
        <v>203</v>
      </c>
      <c r="F63" s="30"/>
      <c r="G63" s="31"/>
      <c r="H63" s="31" t="s">
        <v>227</v>
      </c>
      <c r="I63" s="30"/>
      <c r="J63" s="30"/>
      <c r="K63" s="30"/>
      <c r="L63" s="30"/>
      <c r="M63" s="31"/>
      <c r="N63" s="30"/>
      <c r="O63" s="30"/>
      <c r="P63" s="30"/>
    </row>
    <row r="64" spans="1:16" ht="38.25" x14ac:dyDescent="0.2">
      <c r="A64" s="20" t="s">
        <v>204</v>
      </c>
      <c r="B64" s="14">
        <f t="shared" si="1"/>
        <v>603</v>
      </c>
      <c r="C64" s="14">
        <f t="shared" si="2"/>
        <v>603</v>
      </c>
      <c r="D64" s="21">
        <v>1</v>
      </c>
      <c r="E64" s="19" t="s">
        <v>205</v>
      </c>
      <c r="F64" s="30"/>
      <c r="G64" s="30" t="s">
        <v>227</v>
      </c>
      <c r="H64" s="30"/>
      <c r="I64" s="30"/>
      <c r="J64" s="30"/>
      <c r="K64" s="30"/>
      <c r="L64" s="30"/>
      <c r="M64" s="30" t="s">
        <v>227</v>
      </c>
      <c r="N64" s="30"/>
      <c r="O64" s="30"/>
      <c r="P64" s="30"/>
    </row>
    <row r="65" spans="1:16" s="11" customFormat="1" ht="51" x14ac:dyDescent="0.2">
      <c r="A65" s="6" t="s">
        <v>16</v>
      </c>
      <c r="B65" s="16">
        <v>604</v>
      </c>
      <c r="C65" s="16">
        <f t="shared" si="2"/>
        <v>612</v>
      </c>
      <c r="D65" s="16">
        <v>9</v>
      </c>
      <c r="E65" s="6" t="s">
        <v>18</v>
      </c>
      <c r="F65" s="30"/>
      <c r="G65" s="30" t="s">
        <v>227</v>
      </c>
      <c r="H65" s="30"/>
      <c r="I65" s="30"/>
      <c r="J65" s="30"/>
      <c r="K65" s="30"/>
      <c r="L65" s="30"/>
      <c r="M65" s="30" t="s">
        <v>227</v>
      </c>
      <c r="N65" s="30"/>
      <c r="O65" s="30"/>
      <c r="P65" s="30"/>
    </row>
    <row r="66" spans="1:16" s="11" customFormat="1" ht="89.25" x14ac:dyDescent="0.2">
      <c r="A66" s="5" t="s">
        <v>17</v>
      </c>
      <c r="B66" s="14">
        <f>C65+1</f>
        <v>613</v>
      </c>
      <c r="C66" s="14">
        <f t="shared" si="2"/>
        <v>621</v>
      </c>
      <c r="D66" s="14">
        <v>9</v>
      </c>
      <c r="E66" s="5" t="s">
        <v>19</v>
      </c>
      <c r="F66" s="30"/>
      <c r="G66" s="30" t="s">
        <v>227</v>
      </c>
      <c r="H66" s="30"/>
      <c r="I66" s="30"/>
      <c r="J66" s="30"/>
      <c r="K66" s="30"/>
      <c r="L66" s="30"/>
      <c r="M66" s="30" t="s">
        <v>227</v>
      </c>
      <c r="N66" s="30"/>
      <c r="O66" s="30"/>
      <c r="P66" s="30"/>
    </row>
    <row r="67" spans="1:16" s="11" customFormat="1" x14ac:dyDescent="0.2">
      <c r="A67" s="5" t="s">
        <v>93</v>
      </c>
      <c r="B67" s="14">
        <v>622</v>
      </c>
      <c r="C67" s="14">
        <f t="shared" si="2"/>
        <v>622</v>
      </c>
      <c r="D67" s="14">
        <v>1</v>
      </c>
      <c r="E67" s="5" t="s">
        <v>94</v>
      </c>
      <c r="F67" s="30"/>
      <c r="G67" s="30"/>
      <c r="H67" s="30"/>
      <c r="I67" s="30" t="s">
        <v>227</v>
      </c>
      <c r="J67" s="30"/>
      <c r="K67" s="30"/>
      <c r="L67" s="30"/>
      <c r="M67" s="30"/>
      <c r="N67" s="30"/>
      <c r="O67" s="30" t="s">
        <v>227</v>
      </c>
      <c r="P67" s="30"/>
    </row>
    <row r="68" spans="1:16" x14ac:dyDescent="0.2">
      <c r="A68" s="5" t="s">
        <v>95</v>
      </c>
      <c r="B68" s="14">
        <f>C67+1</f>
        <v>623</v>
      </c>
      <c r="C68" s="14">
        <f t="shared" ref="C68:C105" si="3">B68+D68-1</f>
        <v>623</v>
      </c>
      <c r="D68" s="14">
        <v>1</v>
      </c>
      <c r="E68" s="5" t="s">
        <v>96</v>
      </c>
      <c r="F68" s="30"/>
      <c r="G68" s="30"/>
      <c r="H68" s="30"/>
      <c r="I68" s="30" t="s">
        <v>227</v>
      </c>
      <c r="J68" s="30"/>
      <c r="K68" s="30"/>
      <c r="L68" s="30"/>
      <c r="M68" s="30"/>
      <c r="N68" s="30"/>
      <c r="O68" s="30" t="s">
        <v>227</v>
      </c>
      <c r="P68" s="30"/>
    </row>
    <row r="69" spans="1:16" x14ac:dyDescent="0.2">
      <c r="A69" s="5" t="s">
        <v>97</v>
      </c>
      <c r="B69" s="14">
        <f t="shared" ref="B69:B105" si="4">C68+1</f>
        <v>624</v>
      </c>
      <c r="C69" s="14">
        <f t="shared" si="3"/>
        <v>624</v>
      </c>
      <c r="D69" s="14">
        <v>1</v>
      </c>
      <c r="E69" s="5" t="s">
        <v>98</v>
      </c>
      <c r="F69" s="30"/>
      <c r="G69" s="30"/>
      <c r="H69" s="30"/>
      <c r="I69" s="30" t="s">
        <v>227</v>
      </c>
      <c r="J69" s="30"/>
      <c r="K69" s="30"/>
      <c r="L69" s="30"/>
      <c r="M69" s="30"/>
      <c r="N69" s="30"/>
      <c r="O69" s="30" t="s">
        <v>227</v>
      </c>
      <c r="P69" s="30"/>
    </row>
    <row r="70" spans="1:16" x14ac:dyDescent="0.2">
      <c r="A70" s="5" t="s">
        <v>99</v>
      </c>
      <c r="B70" s="14">
        <f t="shared" si="4"/>
        <v>625</v>
      </c>
      <c r="C70" s="14">
        <f t="shared" si="3"/>
        <v>625</v>
      </c>
      <c r="D70" s="14">
        <v>1</v>
      </c>
      <c r="E70" s="5" t="s">
        <v>100</v>
      </c>
      <c r="F70" s="30"/>
      <c r="G70" s="30"/>
      <c r="H70" s="30"/>
      <c r="I70" s="30" t="s">
        <v>227</v>
      </c>
      <c r="J70" s="30"/>
      <c r="K70" s="30"/>
      <c r="L70" s="30"/>
      <c r="M70" s="30"/>
      <c r="N70" s="30"/>
      <c r="O70" s="30" t="s">
        <v>227</v>
      </c>
      <c r="P70" s="30"/>
    </row>
    <row r="71" spans="1:16" x14ac:dyDescent="0.2">
      <c r="A71" s="5" t="s">
        <v>101</v>
      </c>
      <c r="B71" s="14">
        <f t="shared" si="4"/>
        <v>626</v>
      </c>
      <c r="C71" s="14">
        <f t="shared" si="3"/>
        <v>626</v>
      </c>
      <c r="D71" s="14">
        <v>1</v>
      </c>
      <c r="E71" s="5" t="s">
        <v>102</v>
      </c>
      <c r="F71" s="30"/>
      <c r="G71" s="30"/>
      <c r="H71" s="30"/>
      <c r="I71" s="30" t="s">
        <v>227</v>
      </c>
      <c r="J71" s="30"/>
      <c r="K71" s="30"/>
      <c r="L71" s="30"/>
      <c r="M71" s="30"/>
      <c r="N71" s="30"/>
      <c r="O71" s="30" t="s">
        <v>227</v>
      </c>
      <c r="P71" s="30"/>
    </row>
    <row r="72" spans="1:16" ht="25.5" x14ac:dyDescent="0.2">
      <c r="A72" s="5" t="s">
        <v>103</v>
      </c>
      <c r="B72" s="14">
        <f t="shared" si="4"/>
        <v>627</v>
      </c>
      <c r="C72" s="14">
        <f t="shared" si="3"/>
        <v>632</v>
      </c>
      <c r="D72" s="14">
        <v>6</v>
      </c>
      <c r="E72" s="5" t="s">
        <v>84</v>
      </c>
      <c r="F72" s="30"/>
      <c r="G72" s="30"/>
      <c r="H72" s="30"/>
      <c r="I72" s="30" t="s">
        <v>227</v>
      </c>
      <c r="J72" s="30"/>
      <c r="K72" s="30"/>
      <c r="L72" s="30"/>
      <c r="M72" s="30"/>
      <c r="N72" s="30"/>
      <c r="O72" s="30" t="s">
        <v>227</v>
      </c>
      <c r="P72" s="30"/>
    </row>
    <row r="73" spans="1:16" x14ac:dyDescent="0.2">
      <c r="A73" s="5" t="s">
        <v>104</v>
      </c>
      <c r="B73" s="14">
        <f t="shared" si="4"/>
        <v>633</v>
      </c>
      <c r="C73" s="14">
        <f t="shared" si="3"/>
        <v>644</v>
      </c>
      <c r="D73" s="14">
        <v>12</v>
      </c>
      <c r="E73" s="5" t="s">
        <v>105</v>
      </c>
      <c r="F73" s="30"/>
      <c r="G73" s="30"/>
      <c r="H73" s="30"/>
      <c r="I73" s="30" t="s">
        <v>227</v>
      </c>
      <c r="J73" s="30"/>
      <c r="K73" s="30"/>
      <c r="L73" s="30"/>
      <c r="M73" s="30"/>
      <c r="N73" s="30"/>
      <c r="O73" s="30" t="s">
        <v>227</v>
      </c>
      <c r="P73" s="30"/>
    </row>
    <row r="74" spans="1:16" x14ac:dyDescent="0.2">
      <c r="A74" s="5" t="s">
        <v>106</v>
      </c>
      <c r="B74" s="14">
        <f t="shared" si="4"/>
        <v>645</v>
      </c>
      <c r="C74" s="14">
        <f t="shared" si="3"/>
        <v>656</v>
      </c>
      <c r="D74" s="14">
        <v>12</v>
      </c>
      <c r="E74" s="5" t="s">
        <v>107</v>
      </c>
      <c r="F74" s="30"/>
      <c r="G74" s="30"/>
      <c r="H74" s="30"/>
      <c r="I74" s="30" t="s">
        <v>227</v>
      </c>
      <c r="J74" s="30"/>
      <c r="K74" s="30"/>
      <c r="L74" s="30"/>
      <c r="M74" s="30"/>
      <c r="N74" s="30"/>
      <c r="O74" s="30" t="s">
        <v>227</v>
      </c>
      <c r="P74" s="30"/>
    </row>
    <row r="75" spans="1:16" x14ac:dyDescent="0.2">
      <c r="A75" s="5" t="s">
        <v>108</v>
      </c>
      <c r="B75" s="14">
        <f t="shared" si="4"/>
        <v>657</v>
      </c>
      <c r="C75" s="14">
        <f t="shared" si="3"/>
        <v>668</v>
      </c>
      <c r="D75" s="14">
        <v>12</v>
      </c>
      <c r="E75" s="5" t="s">
        <v>109</v>
      </c>
      <c r="F75" s="30"/>
      <c r="G75" s="30"/>
      <c r="H75" s="30"/>
      <c r="I75" s="30" t="s">
        <v>227</v>
      </c>
      <c r="J75" s="30"/>
      <c r="K75" s="30"/>
      <c r="L75" s="30"/>
      <c r="M75" s="30"/>
      <c r="N75" s="30"/>
      <c r="O75" s="30" t="s">
        <v>227</v>
      </c>
      <c r="P75" s="30"/>
    </row>
    <row r="76" spans="1:16" x14ac:dyDescent="0.2">
      <c r="A76" s="5" t="s">
        <v>110</v>
      </c>
      <c r="B76" s="14">
        <f t="shared" si="4"/>
        <v>669</v>
      </c>
      <c r="C76" s="14">
        <f t="shared" si="3"/>
        <v>676</v>
      </c>
      <c r="D76" s="14">
        <v>8</v>
      </c>
      <c r="E76" s="5" t="s">
        <v>111</v>
      </c>
      <c r="F76" s="30"/>
      <c r="G76" s="30"/>
      <c r="H76" s="30"/>
      <c r="I76" s="30" t="s">
        <v>227</v>
      </c>
      <c r="J76" s="30"/>
      <c r="K76" s="30"/>
      <c r="L76" s="30"/>
      <c r="M76" s="30"/>
      <c r="N76" s="30"/>
      <c r="O76" s="30" t="s">
        <v>227</v>
      </c>
      <c r="P76" s="30"/>
    </row>
    <row r="77" spans="1:16" ht="25.5" x14ac:dyDescent="0.2">
      <c r="A77" s="5" t="s">
        <v>112</v>
      </c>
      <c r="B77" s="14">
        <f t="shared" si="4"/>
        <v>677</v>
      </c>
      <c r="C77" s="14">
        <f t="shared" si="3"/>
        <v>679</v>
      </c>
      <c r="D77" s="14">
        <v>3</v>
      </c>
      <c r="E77" s="5" t="s">
        <v>85</v>
      </c>
      <c r="F77" s="30"/>
      <c r="G77" s="30"/>
      <c r="H77" s="30"/>
      <c r="I77" s="30" t="s">
        <v>227</v>
      </c>
      <c r="J77" s="30"/>
      <c r="K77" s="30"/>
      <c r="L77" s="30"/>
      <c r="M77" s="30"/>
      <c r="N77" s="30"/>
      <c r="O77" s="30" t="s">
        <v>227</v>
      </c>
      <c r="P77" s="30"/>
    </row>
    <row r="78" spans="1:16" ht="114.75" x14ac:dyDescent="0.2">
      <c r="A78" s="5" t="s">
        <v>113</v>
      </c>
      <c r="B78" s="14">
        <f t="shared" si="4"/>
        <v>680</v>
      </c>
      <c r="C78" s="14">
        <f t="shared" si="3"/>
        <v>680</v>
      </c>
      <c r="D78" s="14">
        <v>1</v>
      </c>
      <c r="E78" s="5" t="s">
        <v>188</v>
      </c>
      <c r="F78" s="30"/>
      <c r="G78" s="30"/>
      <c r="H78" s="30"/>
      <c r="I78" s="30" t="s">
        <v>227</v>
      </c>
      <c r="J78" s="30"/>
      <c r="K78" s="30"/>
      <c r="L78" s="30"/>
      <c r="M78" s="30"/>
      <c r="N78" s="30"/>
      <c r="O78" s="30" t="s">
        <v>227</v>
      </c>
      <c r="P78" s="30"/>
    </row>
    <row r="79" spans="1:16" x14ac:dyDescent="0.2">
      <c r="A79" s="5" t="s">
        <v>157</v>
      </c>
      <c r="B79" s="14">
        <f t="shared" si="4"/>
        <v>681</v>
      </c>
      <c r="C79" s="14">
        <f t="shared" si="3"/>
        <v>688</v>
      </c>
      <c r="D79" s="14">
        <v>8</v>
      </c>
      <c r="E79" s="5" t="s">
        <v>114</v>
      </c>
      <c r="F79" s="30"/>
      <c r="G79" s="30"/>
      <c r="H79" s="30"/>
      <c r="I79" s="30" t="s">
        <v>227</v>
      </c>
      <c r="J79" s="30"/>
      <c r="K79" s="30"/>
      <c r="L79" s="30"/>
      <c r="M79" s="30"/>
      <c r="N79" s="30"/>
      <c r="O79" s="30" t="s">
        <v>227</v>
      </c>
      <c r="P79" s="30"/>
    </row>
    <row r="80" spans="1:16" ht="25.5" x14ac:dyDescent="0.2">
      <c r="A80" s="5" t="s">
        <v>115</v>
      </c>
      <c r="B80" s="14">
        <f t="shared" si="4"/>
        <v>689</v>
      </c>
      <c r="C80" s="14">
        <f t="shared" si="3"/>
        <v>700</v>
      </c>
      <c r="D80" s="14">
        <v>12</v>
      </c>
      <c r="E80" s="5" t="s">
        <v>116</v>
      </c>
      <c r="F80" s="30"/>
      <c r="G80" s="30"/>
      <c r="H80" s="30"/>
      <c r="I80" s="30" t="s">
        <v>227</v>
      </c>
      <c r="J80" s="30"/>
      <c r="K80" s="30"/>
      <c r="L80" s="30"/>
      <c r="M80" s="30"/>
      <c r="N80" s="30"/>
      <c r="O80" s="30" t="s">
        <v>227</v>
      </c>
      <c r="P80" s="30"/>
    </row>
    <row r="81" spans="1:16" ht="76.5" x14ac:dyDescent="0.2">
      <c r="A81" s="5" t="s">
        <v>117</v>
      </c>
      <c r="B81" s="14">
        <f t="shared" si="4"/>
        <v>701</v>
      </c>
      <c r="C81" s="14">
        <f t="shared" si="3"/>
        <v>701</v>
      </c>
      <c r="D81" s="14">
        <v>1</v>
      </c>
      <c r="E81" s="5" t="s">
        <v>86</v>
      </c>
      <c r="F81" s="30"/>
      <c r="G81" s="30"/>
      <c r="H81" s="30"/>
      <c r="I81" s="30" t="s">
        <v>227</v>
      </c>
      <c r="J81" s="30"/>
      <c r="K81" s="30"/>
      <c r="L81" s="30"/>
      <c r="M81" s="30"/>
      <c r="N81" s="30"/>
      <c r="O81" s="30" t="s">
        <v>227</v>
      </c>
      <c r="P81" s="30"/>
    </row>
    <row r="82" spans="1:16" x14ac:dyDescent="0.2">
      <c r="A82" s="5" t="s">
        <v>118</v>
      </c>
      <c r="B82" s="14">
        <f t="shared" si="4"/>
        <v>702</v>
      </c>
      <c r="C82" s="14">
        <f t="shared" si="3"/>
        <v>705</v>
      </c>
      <c r="D82" s="14">
        <v>4</v>
      </c>
      <c r="E82" s="5" t="s">
        <v>119</v>
      </c>
      <c r="F82" s="30"/>
      <c r="G82" s="30"/>
      <c r="H82" s="30"/>
      <c r="I82" s="30" t="s">
        <v>227</v>
      </c>
      <c r="J82" s="30"/>
      <c r="K82" s="30"/>
      <c r="L82" s="30"/>
      <c r="M82" s="30"/>
      <c r="N82" s="30"/>
      <c r="O82" s="30" t="s">
        <v>227</v>
      </c>
      <c r="P82" s="30"/>
    </row>
    <row r="83" spans="1:16" ht="25.5" x14ac:dyDescent="0.2">
      <c r="A83" s="5" t="s">
        <v>120</v>
      </c>
      <c r="B83" s="14">
        <f t="shared" si="4"/>
        <v>706</v>
      </c>
      <c r="C83" s="14">
        <f t="shared" si="3"/>
        <v>713</v>
      </c>
      <c r="D83" s="14">
        <v>8</v>
      </c>
      <c r="E83" s="5" t="s">
        <v>149</v>
      </c>
      <c r="F83" s="30"/>
      <c r="G83" s="30"/>
      <c r="H83" s="30"/>
      <c r="I83" s="30" t="s">
        <v>227</v>
      </c>
      <c r="J83" s="30"/>
      <c r="K83" s="30"/>
      <c r="L83" s="30"/>
      <c r="M83" s="30"/>
      <c r="N83" s="30"/>
      <c r="O83" s="30" t="s">
        <v>227</v>
      </c>
      <c r="P83" s="30"/>
    </row>
    <row r="84" spans="1:16" ht="25.5" x14ac:dyDescent="0.2">
      <c r="A84" s="5" t="s">
        <v>121</v>
      </c>
      <c r="B84" s="14">
        <f t="shared" si="4"/>
        <v>714</v>
      </c>
      <c r="C84" s="14">
        <f t="shared" si="3"/>
        <v>725</v>
      </c>
      <c r="D84" s="14">
        <v>12</v>
      </c>
      <c r="E84" s="5" t="s">
        <v>150</v>
      </c>
      <c r="F84" s="30"/>
      <c r="G84" s="30"/>
      <c r="H84" s="30"/>
      <c r="I84" s="30" t="s">
        <v>227</v>
      </c>
      <c r="J84" s="30"/>
      <c r="K84" s="30"/>
      <c r="L84" s="30"/>
      <c r="M84" s="30"/>
      <c r="N84" s="30"/>
      <c r="O84" s="30" t="s">
        <v>227</v>
      </c>
      <c r="P84" s="30"/>
    </row>
    <row r="85" spans="1:16" ht="25.5" x14ac:dyDescent="0.2">
      <c r="A85" s="5" t="s">
        <v>122</v>
      </c>
      <c r="B85" s="14">
        <f t="shared" si="4"/>
        <v>726</v>
      </c>
      <c r="C85" s="14">
        <f t="shared" si="3"/>
        <v>737</v>
      </c>
      <c r="D85" s="14">
        <v>12</v>
      </c>
      <c r="E85" s="5" t="s">
        <v>123</v>
      </c>
      <c r="F85" s="30"/>
      <c r="G85" s="30"/>
      <c r="H85" s="30"/>
      <c r="I85" s="30" t="s">
        <v>227</v>
      </c>
      <c r="J85" s="30"/>
      <c r="K85" s="30"/>
      <c r="L85" s="30"/>
      <c r="M85" s="30"/>
      <c r="N85" s="30"/>
      <c r="O85" s="30" t="s">
        <v>227</v>
      </c>
      <c r="P85" s="30"/>
    </row>
    <row r="86" spans="1:16" ht="25.5" x14ac:dyDescent="0.2">
      <c r="A86" s="5" t="s">
        <v>124</v>
      </c>
      <c r="B86" s="14">
        <f t="shared" si="4"/>
        <v>738</v>
      </c>
      <c r="C86" s="14">
        <f t="shared" si="3"/>
        <v>741</v>
      </c>
      <c r="D86" s="14">
        <v>4</v>
      </c>
      <c r="E86" s="5" t="s">
        <v>125</v>
      </c>
      <c r="F86" s="30"/>
      <c r="G86" s="30"/>
      <c r="H86" s="30"/>
      <c r="I86" s="30" t="s">
        <v>227</v>
      </c>
      <c r="J86" s="30"/>
      <c r="K86" s="30"/>
      <c r="L86" s="30"/>
      <c r="M86" s="30"/>
      <c r="N86" s="30"/>
      <c r="O86" s="30" t="s">
        <v>227</v>
      </c>
      <c r="P86" s="30"/>
    </row>
    <row r="87" spans="1:16" ht="25.5" x14ac:dyDescent="0.2">
      <c r="A87" s="5" t="s">
        <v>126</v>
      </c>
      <c r="B87" s="14">
        <f t="shared" si="4"/>
        <v>742</v>
      </c>
      <c r="C87" s="14">
        <f t="shared" si="3"/>
        <v>744</v>
      </c>
      <c r="D87" s="14">
        <v>3</v>
      </c>
      <c r="E87" s="5" t="s">
        <v>127</v>
      </c>
      <c r="F87" s="30"/>
      <c r="G87" s="30"/>
      <c r="H87" s="30"/>
      <c r="I87" s="30" t="s">
        <v>227</v>
      </c>
      <c r="J87" s="30"/>
      <c r="K87" s="30"/>
      <c r="L87" s="30"/>
      <c r="M87" s="30"/>
      <c r="N87" s="30"/>
      <c r="O87" s="30" t="s">
        <v>227</v>
      </c>
      <c r="P87" s="30"/>
    </row>
    <row r="88" spans="1:16" x14ac:dyDescent="0.2">
      <c r="A88" s="5" t="s">
        <v>128</v>
      </c>
      <c r="B88" s="14">
        <f t="shared" si="4"/>
        <v>745</v>
      </c>
      <c r="C88" s="14">
        <f t="shared" si="3"/>
        <v>756</v>
      </c>
      <c r="D88" s="14">
        <v>12</v>
      </c>
      <c r="E88" s="5" t="s">
        <v>129</v>
      </c>
      <c r="F88" s="30"/>
      <c r="G88" s="30"/>
      <c r="H88" s="30"/>
      <c r="I88" s="30" t="s">
        <v>227</v>
      </c>
      <c r="J88" s="30"/>
      <c r="K88" s="30"/>
      <c r="L88" s="30"/>
      <c r="M88" s="30"/>
      <c r="N88" s="30"/>
      <c r="O88" s="30" t="s">
        <v>227</v>
      </c>
      <c r="P88" s="30"/>
    </row>
    <row r="89" spans="1:16" x14ac:dyDescent="0.2">
      <c r="A89" s="5" t="s">
        <v>130</v>
      </c>
      <c r="B89" s="14">
        <f t="shared" si="4"/>
        <v>757</v>
      </c>
      <c r="C89" s="14">
        <f t="shared" si="3"/>
        <v>760</v>
      </c>
      <c r="D89" s="14">
        <v>4</v>
      </c>
      <c r="E89" s="5" t="s">
        <v>131</v>
      </c>
      <c r="F89" s="30"/>
      <c r="G89" s="30"/>
      <c r="H89" s="30"/>
      <c r="I89" s="30" t="s">
        <v>227</v>
      </c>
      <c r="J89" s="30"/>
      <c r="K89" s="30"/>
      <c r="L89" s="30"/>
      <c r="M89" s="30"/>
      <c r="N89" s="30"/>
      <c r="O89" s="30" t="s">
        <v>227</v>
      </c>
      <c r="P89" s="30"/>
    </row>
    <row r="90" spans="1:16" ht="25.5" x14ac:dyDescent="0.2">
      <c r="A90" s="5" t="s">
        <v>132</v>
      </c>
      <c r="B90" s="14">
        <f t="shared" si="4"/>
        <v>761</v>
      </c>
      <c r="C90" s="14">
        <f t="shared" si="3"/>
        <v>763</v>
      </c>
      <c r="D90" s="14">
        <v>3</v>
      </c>
      <c r="E90" s="5" t="s">
        <v>151</v>
      </c>
      <c r="F90" s="30"/>
      <c r="G90" s="30"/>
      <c r="H90" s="30"/>
      <c r="I90" s="30" t="s">
        <v>227</v>
      </c>
      <c r="J90" s="30"/>
      <c r="K90" s="30"/>
      <c r="L90" s="30"/>
      <c r="M90" s="30"/>
      <c r="N90" s="30"/>
      <c r="O90" s="30" t="s">
        <v>227</v>
      </c>
      <c r="P90" s="30"/>
    </row>
    <row r="91" spans="1:16" x14ac:dyDescent="0.2">
      <c r="A91" s="5" t="s">
        <v>133</v>
      </c>
      <c r="B91" s="14">
        <f t="shared" si="4"/>
        <v>764</v>
      </c>
      <c r="C91" s="14">
        <f t="shared" si="3"/>
        <v>766</v>
      </c>
      <c r="D91" s="14">
        <v>3</v>
      </c>
      <c r="E91" s="5" t="s">
        <v>134</v>
      </c>
      <c r="F91" s="30"/>
      <c r="G91" s="30"/>
      <c r="H91" s="30"/>
      <c r="I91" s="30" t="s">
        <v>227</v>
      </c>
      <c r="J91" s="30"/>
      <c r="K91" s="30"/>
      <c r="L91" s="30"/>
      <c r="M91" s="30"/>
      <c r="N91" s="30"/>
      <c r="O91" s="30" t="s">
        <v>227</v>
      </c>
      <c r="P91" s="30"/>
    </row>
    <row r="92" spans="1:16" ht="25.5" x14ac:dyDescent="0.2">
      <c r="A92" s="5" t="s">
        <v>135</v>
      </c>
      <c r="B92" s="14">
        <f t="shared" si="4"/>
        <v>767</v>
      </c>
      <c r="C92" s="14">
        <f t="shared" si="3"/>
        <v>769</v>
      </c>
      <c r="D92" s="14">
        <v>3</v>
      </c>
      <c r="E92" s="5" t="s">
        <v>136</v>
      </c>
      <c r="F92" s="30"/>
      <c r="G92" s="30"/>
      <c r="H92" s="30"/>
      <c r="I92" s="30" t="s">
        <v>227</v>
      </c>
      <c r="J92" s="30"/>
      <c r="K92" s="30"/>
      <c r="L92" s="30"/>
      <c r="M92" s="30"/>
      <c r="N92" s="30"/>
      <c r="O92" s="30" t="s">
        <v>227</v>
      </c>
      <c r="P92" s="30"/>
    </row>
    <row r="93" spans="1:16" ht="140.25" x14ac:dyDescent="0.2">
      <c r="A93" s="5" t="s">
        <v>137</v>
      </c>
      <c r="B93" s="14">
        <f t="shared" si="4"/>
        <v>770</v>
      </c>
      <c r="C93" s="14">
        <f t="shared" si="3"/>
        <v>770</v>
      </c>
      <c r="D93" s="14">
        <v>1</v>
      </c>
      <c r="E93" s="5" t="s">
        <v>87</v>
      </c>
      <c r="F93" s="30"/>
      <c r="G93" s="30"/>
      <c r="H93" s="30"/>
      <c r="I93" s="30" t="s">
        <v>227</v>
      </c>
      <c r="J93" s="30"/>
      <c r="K93" s="30"/>
      <c r="L93" s="30"/>
      <c r="M93" s="30"/>
      <c r="N93" s="30"/>
      <c r="O93" s="30" t="s">
        <v>227</v>
      </c>
      <c r="P93" s="30"/>
    </row>
    <row r="94" spans="1:16" ht="25.5" x14ac:dyDescent="0.2">
      <c r="A94" s="5" t="s">
        <v>152</v>
      </c>
      <c r="B94" s="14">
        <f t="shared" si="4"/>
        <v>771</v>
      </c>
      <c r="C94" s="14">
        <f t="shared" si="3"/>
        <v>780</v>
      </c>
      <c r="D94" s="14">
        <v>10</v>
      </c>
      <c r="E94" s="5" t="s">
        <v>88</v>
      </c>
      <c r="F94" s="30"/>
      <c r="G94" s="30"/>
      <c r="H94" s="30"/>
      <c r="I94" s="30" t="s">
        <v>227</v>
      </c>
      <c r="J94" s="30"/>
      <c r="K94" s="30"/>
      <c r="L94" s="30"/>
      <c r="M94" s="30"/>
      <c r="N94" s="30"/>
      <c r="O94" s="30" t="s">
        <v>227</v>
      </c>
      <c r="P94" s="30"/>
    </row>
    <row r="95" spans="1:16" ht="51" x14ac:dyDescent="0.2">
      <c r="A95" s="5" t="s">
        <v>187</v>
      </c>
      <c r="B95" s="14">
        <f t="shared" si="4"/>
        <v>781</v>
      </c>
      <c r="C95" s="14">
        <f t="shared" si="3"/>
        <v>787</v>
      </c>
      <c r="D95" s="14">
        <v>7</v>
      </c>
      <c r="E95" s="5" t="s">
        <v>138</v>
      </c>
      <c r="F95" s="30"/>
      <c r="G95" s="30"/>
      <c r="H95" s="30"/>
      <c r="I95" s="30" t="s">
        <v>227</v>
      </c>
      <c r="J95" s="30"/>
      <c r="K95" s="30"/>
      <c r="L95" s="30"/>
      <c r="M95" s="30"/>
      <c r="N95" s="30"/>
      <c r="O95" s="30" t="s">
        <v>227</v>
      </c>
      <c r="P95" s="30"/>
    </row>
    <row r="96" spans="1:16" ht="140.25" x14ac:dyDescent="0.2">
      <c r="A96" s="5" t="s">
        <v>153</v>
      </c>
      <c r="B96" s="14">
        <f t="shared" si="4"/>
        <v>788</v>
      </c>
      <c r="C96" s="14">
        <f t="shared" si="3"/>
        <v>790</v>
      </c>
      <c r="D96" s="14">
        <v>3</v>
      </c>
      <c r="E96" s="5" t="s">
        <v>89</v>
      </c>
      <c r="F96" s="30"/>
      <c r="G96" s="30"/>
      <c r="H96" s="30"/>
      <c r="I96" s="30" t="s">
        <v>227</v>
      </c>
      <c r="J96" s="30"/>
      <c r="K96" s="30"/>
      <c r="L96" s="30"/>
      <c r="M96" s="30"/>
      <c r="N96" s="30"/>
      <c r="O96" s="30" t="s">
        <v>227</v>
      </c>
      <c r="P96" s="30"/>
    </row>
    <row r="97" spans="1:16" ht="25.5" x14ac:dyDescent="0.2">
      <c r="A97" s="5" t="s">
        <v>154</v>
      </c>
      <c r="B97" s="14">
        <f t="shared" si="4"/>
        <v>791</v>
      </c>
      <c r="C97" s="14">
        <f t="shared" si="3"/>
        <v>793</v>
      </c>
      <c r="D97" s="14">
        <v>3</v>
      </c>
      <c r="E97" s="5" t="s">
        <v>139</v>
      </c>
      <c r="F97" s="30"/>
      <c r="G97" s="30"/>
      <c r="H97" s="30"/>
      <c r="I97" s="30" t="s">
        <v>227</v>
      </c>
      <c r="J97" s="30"/>
      <c r="K97" s="30"/>
      <c r="L97" s="30"/>
      <c r="M97" s="30"/>
      <c r="N97" s="30"/>
      <c r="O97" s="30" t="s">
        <v>227</v>
      </c>
      <c r="P97" s="30"/>
    </row>
    <row r="98" spans="1:16" x14ac:dyDescent="0.2">
      <c r="A98" s="6" t="s">
        <v>194</v>
      </c>
      <c r="B98" s="14">
        <f t="shared" si="4"/>
        <v>794</v>
      </c>
      <c r="C98" s="14">
        <f t="shared" si="3"/>
        <v>798</v>
      </c>
      <c r="D98" s="14">
        <v>5</v>
      </c>
      <c r="E98" s="5" t="s">
        <v>195</v>
      </c>
      <c r="F98" s="30"/>
      <c r="G98" s="30"/>
      <c r="H98" s="30"/>
      <c r="I98" s="30" t="s">
        <v>227</v>
      </c>
      <c r="J98" s="30"/>
      <c r="K98" s="30"/>
      <c r="L98" s="30"/>
      <c r="M98" s="30"/>
      <c r="N98" s="30"/>
      <c r="O98" s="30" t="s">
        <v>227</v>
      </c>
      <c r="P98" s="30"/>
    </row>
    <row r="99" spans="1:16" x14ac:dyDescent="0.2">
      <c r="A99" s="5" t="s">
        <v>194</v>
      </c>
      <c r="B99" s="14">
        <f t="shared" si="4"/>
        <v>799</v>
      </c>
      <c r="C99" s="14">
        <f t="shared" si="3"/>
        <v>805</v>
      </c>
      <c r="D99" s="14">
        <v>7</v>
      </c>
      <c r="E99" s="5" t="s">
        <v>195</v>
      </c>
      <c r="F99" s="30"/>
      <c r="G99" s="30"/>
      <c r="H99" s="30"/>
      <c r="I99" s="30" t="s">
        <v>227</v>
      </c>
      <c r="J99" s="30"/>
      <c r="K99" s="30"/>
      <c r="L99" s="30"/>
      <c r="M99" s="30"/>
      <c r="N99" s="30"/>
      <c r="O99" s="30" t="s">
        <v>227</v>
      </c>
      <c r="P99" s="30"/>
    </row>
    <row r="100" spans="1:16" x14ac:dyDescent="0.2">
      <c r="A100" s="5" t="s">
        <v>194</v>
      </c>
      <c r="B100" s="14">
        <f t="shared" si="4"/>
        <v>806</v>
      </c>
      <c r="C100" s="14">
        <f t="shared" si="3"/>
        <v>808</v>
      </c>
      <c r="D100" s="14">
        <v>3</v>
      </c>
      <c r="E100" s="5" t="s">
        <v>195</v>
      </c>
      <c r="F100" s="30"/>
      <c r="G100" s="30"/>
      <c r="H100" s="30"/>
      <c r="I100" s="30" t="s">
        <v>227</v>
      </c>
      <c r="J100" s="30"/>
      <c r="K100" s="30"/>
      <c r="L100" s="30"/>
      <c r="M100" s="30"/>
      <c r="N100" s="30"/>
      <c r="O100" s="30" t="s">
        <v>227</v>
      </c>
      <c r="P100" s="30"/>
    </row>
    <row r="101" spans="1:16" x14ac:dyDescent="0.2">
      <c r="A101" s="5" t="s">
        <v>140</v>
      </c>
      <c r="B101" s="14">
        <f t="shared" si="4"/>
        <v>809</v>
      </c>
      <c r="C101" s="14">
        <f t="shared" si="3"/>
        <v>811</v>
      </c>
      <c r="D101" s="14">
        <v>3</v>
      </c>
      <c r="E101" s="5" t="s">
        <v>141</v>
      </c>
      <c r="F101" s="30"/>
      <c r="G101" s="30"/>
      <c r="H101" s="30"/>
      <c r="I101" s="30" t="s">
        <v>227</v>
      </c>
      <c r="J101" s="30"/>
      <c r="K101" s="30"/>
      <c r="L101" s="30"/>
      <c r="M101" s="30"/>
      <c r="N101" s="30"/>
      <c r="O101" s="30" t="s">
        <v>227</v>
      </c>
      <c r="P101" s="30"/>
    </row>
    <row r="102" spans="1:16" x14ac:dyDescent="0.2">
      <c r="A102" s="5" t="s">
        <v>142</v>
      </c>
      <c r="B102" s="14">
        <f t="shared" si="4"/>
        <v>812</v>
      </c>
      <c r="C102" s="14">
        <f t="shared" si="3"/>
        <v>814</v>
      </c>
      <c r="D102" s="14">
        <v>3</v>
      </c>
      <c r="E102" s="5" t="s">
        <v>143</v>
      </c>
      <c r="F102" s="30"/>
      <c r="G102" s="30"/>
      <c r="H102" s="30"/>
      <c r="I102" s="30" t="s">
        <v>227</v>
      </c>
      <c r="J102" s="30"/>
      <c r="K102" s="30"/>
      <c r="L102" s="30"/>
      <c r="M102" s="30"/>
      <c r="N102" s="30"/>
      <c r="O102" s="30" t="s">
        <v>227</v>
      </c>
      <c r="P102" s="30"/>
    </row>
    <row r="103" spans="1:16" x14ac:dyDescent="0.2">
      <c r="A103" s="5" t="s">
        <v>144</v>
      </c>
      <c r="B103" s="14">
        <f t="shared" si="4"/>
        <v>815</v>
      </c>
      <c r="C103" s="14">
        <f t="shared" si="3"/>
        <v>817</v>
      </c>
      <c r="D103" s="14">
        <v>3</v>
      </c>
      <c r="E103" s="5" t="s">
        <v>143</v>
      </c>
      <c r="F103" s="30"/>
      <c r="G103" s="30"/>
      <c r="H103" s="30"/>
      <c r="I103" s="30" t="s">
        <v>227</v>
      </c>
      <c r="J103" s="30"/>
      <c r="K103" s="30"/>
      <c r="L103" s="30"/>
      <c r="M103" s="30"/>
      <c r="N103" s="30"/>
      <c r="O103" s="30" t="s">
        <v>227</v>
      </c>
      <c r="P103" s="30"/>
    </row>
    <row r="104" spans="1:16" x14ac:dyDescent="0.2">
      <c r="A104" s="5" t="s">
        <v>145</v>
      </c>
      <c r="B104" s="14">
        <f t="shared" si="4"/>
        <v>818</v>
      </c>
      <c r="C104" s="14">
        <f t="shared" si="3"/>
        <v>820</v>
      </c>
      <c r="D104" s="14">
        <v>3</v>
      </c>
      <c r="E104" s="5" t="s">
        <v>143</v>
      </c>
      <c r="F104" s="30"/>
      <c r="G104" s="30"/>
      <c r="H104" s="30"/>
      <c r="I104" s="30" t="s">
        <v>227</v>
      </c>
      <c r="J104" s="30"/>
      <c r="K104" s="30"/>
      <c r="L104" s="30"/>
      <c r="M104" s="30"/>
      <c r="N104" s="30"/>
      <c r="O104" s="30" t="s">
        <v>227</v>
      </c>
      <c r="P104" s="30"/>
    </row>
    <row r="105" spans="1:16" x14ac:dyDescent="0.2">
      <c r="A105" s="5" t="s">
        <v>146</v>
      </c>
      <c r="B105" s="14">
        <f t="shared" si="4"/>
        <v>821</v>
      </c>
      <c r="C105" s="14">
        <f t="shared" si="3"/>
        <v>823</v>
      </c>
      <c r="D105" s="14">
        <v>3</v>
      </c>
      <c r="E105" s="5" t="s">
        <v>143</v>
      </c>
      <c r="F105" s="30"/>
      <c r="G105" s="30"/>
      <c r="H105" s="30"/>
      <c r="I105" s="30" t="s">
        <v>227</v>
      </c>
      <c r="J105" s="30"/>
      <c r="K105" s="30"/>
      <c r="L105" s="30"/>
      <c r="M105" s="30"/>
      <c r="N105" s="30"/>
      <c r="O105" s="30" t="s">
        <v>227</v>
      </c>
      <c r="P105" s="30"/>
    </row>
    <row r="106" spans="1:16" x14ac:dyDescent="0.2">
      <c r="A106" s="7" t="s">
        <v>194</v>
      </c>
      <c r="B106" s="14">
        <v>824</v>
      </c>
      <c r="C106" s="14">
        <f>B106+D106-1</f>
        <v>827</v>
      </c>
      <c r="D106" s="14">
        <v>4</v>
      </c>
      <c r="E106" s="15" t="s">
        <v>200</v>
      </c>
      <c r="F106" s="30"/>
      <c r="G106" s="30"/>
      <c r="H106" s="30"/>
      <c r="I106" s="30"/>
      <c r="J106" s="30" t="s">
        <v>227</v>
      </c>
      <c r="K106" s="30"/>
      <c r="L106" s="30"/>
      <c r="M106" s="30"/>
      <c r="N106" s="30"/>
      <c r="O106" s="30"/>
      <c r="P106" s="30" t="s">
        <v>227</v>
      </c>
    </row>
    <row r="107" spans="1:16" x14ac:dyDescent="0.2">
      <c r="A107" s="7" t="s">
        <v>181</v>
      </c>
      <c r="B107" s="14">
        <f>C106+1</f>
        <v>828</v>
      </c>
      <c r="C107" s="14">
        <f>B107+D107-1</f>
        <v>847</v>
      </c>
      <c r="D107" s="14">
        <v>20</v>
      </c>
      <c r="E107" s="15" t="s">
        <v>183</v>
      </c>
      <c r="F107" s="30"/>
      <c r="G107" s="30"/>
      <c r="H107" s="30"/>
      <c r="I107" s="30"/>
      <c r="J107" s="30" t="s">
        <v>227</v>
      </c>
      <c r="K107" s="30"/>
      <c r="L107" s="30"/>
      <c r="M107" s="30"/>
      <c r="N107" s="30"/>
      <c r="O107" s="30"/>
      <c r="P107" s="30" t="s">
        <v>227</v>
      </c>
    </row>
    <row r="108" spans="1:16" x14ac:dyDescent="0.2">
      <c r="A108" s="7" t="s">
        <v>197</v>
      </c>
      <c r="B108" s="14">
        <f t="shared" ref="B108:B118" si="5">C107+1</f>
        <v>848</v>
      </c>
      <c r="C108" s="14">
        <f t="shared" ref="C108:C118" si="6">B108+D108-1</f>
        <v>867</v>
      </c>
      <c r="D108" s="14">
        <v>20</v>
      </c>
      <c r="E108" s="15" t="s">
        <v>198</v>
      </c>
      <c r="F108" s="30"/>
      <c r="G108" s="30"/>
      <c r="H108" s="30"/>
      <c r="I108" s="30"/>
      <c r="J108" s="30" t="s">
        <v>227</v>
      </c>
      <c r="K108" s="30"/>
      <c r="L108" s="30"/>
      <c r="M108" s="30"/>
      <c r="N108" s="30"/>
      <c r="O108" s="30"/>
      <c r="P108" s="30" t="s">
        <v>227</v>
      </c>
    </row>
    <row r="109" spans="1:16" x14ac:dyDescent="0.2">
      <c r="A109" s="7" t="s">
        <v>182</v>
      </c>
      <c r="B109" s="14">
        <f t="shared" si="5"/>
        <v>868</v>
      </c>
      <c r="C109" s="14">
        <f t="shared" si="6"/>
        <v>892</v>
      </c>
      <c r="D109" s="14">
        <v>25</v>
      </c>
      <c r="E109" s="15" t="s">
        <v>184</v>
      </c>
      <c r="F109" s="30"/>
      <c r="G109" s="30"/>
      <c r="H109" s="30"/>
      <c r="I109" s="30"/>
      <c r="J109" s="30" t="s">
        <v>227</v>
      </c>
      <c r="K109" s="30"/>
      <c r="L109" s="30"/>
      <c r="M109" s="30"/>
      <c r="N109" s="30"/>
      <c r="O109" s="30"/>
      <c r="P109" s="30" t="s">
        <v>227</v>
      </c>
    </row>
    <row r="110" spans="1:16" ht="25.5" x14ac:dyDescent="0.2">
      <c r="A110" s="7" t="s">
        <v>199</v>
      </c>
      <c r="B110" s="14">
        <f t="shared" si="5"/>
        <v>893</v>
      </c>
      <c r="C110" s="14">
        <f t="shared" si="6"/>
        <v>895</v>
      </c>
      <c r="D110" s="14">
        <v>3</v>
      </c>
      <c r="E110" s="15" t="s">
        <v>206</v>
      </c>
      <c r="F110" s="30"/>
      <c r="G110" s="30"/>
      <c r="H110" s="30"/>
      <c r="I110" s="30"/>
      <c r="J110" s="30" t="s">
        <v>227</v>
      </c>
      <c r="K110" s="30"/>
      <c r="L110" s="30"/>
      <c r="M110" s="30"/>
      <c r="N110" s="30"/>
      <c r="O110" s="30"/>
      <c r="P110" s="30" t="s">
        <v>227</v>
      </c>
    </row>
    <row r="111" spans="1:16" ht="140.25" x14ac:dyDescent="0.2">
      <c r="A111" s="5" t="s">
        <v>11</v>
      </c>
      <c r="B111" s="14">
        <f t="shared" si="5"/>
        <v>896</v>
      </c>
      <c r="C111" s="14">
        <f t="shared" si="6"/>
        <v>898</v>
      </c>
      <c r="D111" s="14">
        <v>3</v>
      </c>
      <c r="E111" s="5" t="s">
        <v>207</v>
      </c>
      <c r="F111" s="30"/>
      <c r="G111" s="30"/>
      <c r="H111" s="30"/>
      <c r="I111" s="30"/>
      <c r="J111" s="30" t="s">
        <v>227</v>
      </c>
      <c r="K111" s="30"/>
      <c r="L111" s="30"/>
      <c r="M111" s="30"/>
      <c r="N111" s="30"/>
      <c r="O111" s="30"/>
      <c r="P111" s="30" t="s">
        <v>227</v>
      </c>
    </row>
    <row r="112" spans="1:16" ht="409.5" x14ac:dyDescent="0.2">
      <c r="A112" s="5" t="s">
        <v>76</v>
      </c>
      <c r="B112" s="14">
        <f t="shared" si="5"/>
        <v>899</v>
      </c>
      <c r="C112" s="14">
        <f t="shared" si="6"/>
        <v>899</v>
      </c>
      <c r="D112" s="14">
        <v>1</v>
      </c>
      <c r="E112" s="5" t="s">
        <v>208</v>
      </c>
      <c r="F112" s="30"/>
      <c r="G112" s="30"/>
      <c r="H112" s="30"/>
      <c r="I112" s="30"/>
      <c r="J112" s="30" t="s">
        <v>227</v>
      </c>
      <c r="K112" s="30"/>
      <c r="L112" s="30"/>
      <c r="M112" s="30"/>
      <c r="N112" s="30"/>
      <c r="O112" s="30"/>
      <c r="P112" s="30" t="s">
        <v>227</v>
      </c>
    </row>
    <row r="113" spans="1:16" x14ac:dyDescent="0.2">
      <c r="A113" s="8" t="s">
        <v>82</v>
      </c>
      <c r="B113" s="14">
        <f t="shared" si="5"/>
        <v>900</v>
      </c>
      <c r="C113" s="14">
        <f t="shared" si="6"/>
        <v>900</v>
      </c>
      <c r="D113" s="14">
        <v>1</v>
      </c>
      <c r="E113" s="9" t="s">
        <v>83</v>
      </c>
      <c r="F113" s="30"/>
      <c r="G113" s="30"/>
      <c r="H113" s="30"/>
      <c r="I113" s="30"/>
      <c r="J113" s="30" t="s">
        <v>227</v>
      </c>
      <c r="K113" s="30"/>
      <c r="L113" s="30"/>
      <c r="M113" s="30"/>
      <c r="N113" s="30"/>
      <c r="O113" s="30"/>
      <c r="P113" s="30" t="s">
        <v>227</v>
      </c>
    </row>
    <row r="114" spans="1:16" x14ac:dyDescent="0.2">
      <c r="A114" s="8" t="s">
        <v>66</v>
      </c>
      <c r="B114" s="14">
        <f t="shared" si="5"/>
        <v>901</v>
      </c>
      <c r="C114" s="14">
        <f t="shared" si="6"/>
        <v>935</v>
      </c>
      <c r="D114" s="14">
        <v>35</v>
      </c>
      <c r="E114" s="10" t="s">
        <v>78</v>
      </c>
      <c r="F114" s="30"/>
      <c r="G114" s="30"/>
      <c r="H114" s="30"/>
      <c r="I114" s="30"/>
      <c r="J114" s="30" t="s">
        <v>227</v>
      </c>
      <c r="K114" s="30"/>
      <c r="L114" s="30"/>
      <c r="M114" s="30"/>
      <c r="N114" s="30"/>
      <c r="O114" s="30"/>
      <c r="P114" s="30" t="s">
        <v>227</v>
      </c>
    </row>
    <row r="115" spans="1:16" x14ac:dyDescent="0.2">
      <c r="A115" s="8" t="s">
        <v>67</v>
      </c>
      <c r="B115" s="14">
        <f t="shared" si="5"/>
        <v>936</v>
      </c>
      <c r="C115" s="14">
        <f t="shared" si="6"/>
        <v>963</v>
      </c>
      <c r="D115" s="14">
        <v>28</v>
      </c>
      <c r="E115" s="10" t="s">
        <v>79</v>
      </c>
      <c r="F115" s="30"/>
      <c r="G115" s="30"/>
      <c r="H115" s="30"/>
      <c r="I115" s="30"/>
      <c r="J115" s="30" t="s">
        <v>227</v>
      </c>
      <c r="K115" s="30"/>
      <c r="L115" s="30"/>
      <c r="M115" s="30"/>
      <c r="N115" s="30"/>
      <c r="O115" s="30"/>
      <c r="P115" s="30" t="s">
        <v>227</v>
      </c>
    </row>
    <row r="116" spans="1:16" x14ac:dyDescent="0.2">
      <c r="A116" s="8" t="s">
        <v>68</v>
      </c>
      <c r="B116" s="14">
        <f t="shared" si="5"/>
        <v>964</v>
      </c>
      <c r="C116" s="14">
        <f t="shared" si="6"/>
        <v>965</v>
      </c>
      <c r="D116" s="14">
        <v>2</v>
      </c>
      <c r="E116" s="10" t="s">
        <v>80</v>
      </c>
      <c r="F116" s="30"/>
      <c r="G116" s="30"/>
      <c r="H116" s="30"/>
      <c r="I116" s="30"/>
      <c r="J116" s="30" t="s">
        <v>227</v>
      </c>
      <c r="K116" s="30"/>
      <c r="L116" s="30"/>
      <c r="M116" s="30"/>
      <c r="N116" s="30"/>
      <c r="O116" s="30"/>
      <c r="P116" s="30" t="s">
        <v>227</v>
      </c>
    </row>
    <row r="117" spans="1:16" x14ac:dyDescent="0.2">
      <c r="A117" s="8" t="s">
        <v>69</v>
      </c>
      <c r="B117" s="14">
        <f t="shared" si="5"/>
        <v>966</v>
      </c>
      <c r="C117" s="14">
        <f t="shared" si="6"/>
        <v>970</v>
      </c>
      <c r="D117" s="14">
        <v>5</v>
      </c>
      <c r="E117" s="10" t="s">
        <v>81</v>
      </c>
      <c r="F117" s="30"/>
      <c r="G117" s="30"/>
      <c r="H117" s="30"/>
      <c r="I117" s="30"/>
      <c r="J117" s="30" t="s">
        <v>227</v>
      </c>
      <c r="K117" s="30"/>
      <c r="L117" s="30"/>
      <c r="M117" s="30"/>
      <c r="N117" s="30"/>
      <c r="O117" s="30"/>
      <c r="P117" s="30" t="s">
        <v>227</v>
      </c>
    </row>
    <row r="118" spans="1:16" x14ac:dyDescent="0.2">
      <c r="A118" s="8" t="s">
        <v>70</v>
      </c>
      <c r="B118" s="14">
        <f t="shared" si="5"/>
        <v>971</v>
      </c>
      <c r="C118" s="14">
        <f t="shared" si="6"/>
        <v>974</v>
      </c>
      <c r="D118" s="14">
        <v>4</v>
      </c>
      <c r="E118" s="10" t="s">
        <v>209</v>
      </c>
      <c r="F118" s="30"/>
      <c r="G118" s="30"/>
      <c r="H118" s="30"/>
      <c r="I118" s="30"/>
      <c r="J118" s="30" t="s">
        <v>227</v>
      </c>
      <c r="K118" s="30"/>
      <c r="L118" s="30"/>
      <c r="M118" s="30"/>
      <c r="N118" s="30"/>
      <c r="O118" s="30"/>
      <c r="P118" s="30" t="s">
        <v>227</v>
      </c>
    </row>
    <row r="119" spans="1:16" ht="51" x14ac:dyDescent="0.2">
      <c r="A119" s="37" t="s">
        <v>232</v>
      </c>
      <c r="B119" s="38">
        <v>975</v>
      </c>
      <c r="C119" s="38">
        <v>980</v>
      </c>
      <c r="D119" s="39">
        <v>6</v>
      </c>
      <c r="E119" s="40" t="s">
        <v>233</v>
      </c>
      <c r="F119" s="43"/>
      <c r="G119" s="43"/>
      <c r="H119" s="43"/>
      <c r="I119" s="43"/>
      <c r="J119" s="43"/>
      <c r="K119" s="43"/>
      <c r="L119" s="43"/>
      <c r="M119" s="43"/>
      <c r="N119" s="43"/>
      <c r="O119" s="43"/>
      <c r="P119" s="43"/>
    </row>
    <row r="120" spans="1:16" ht="51" x14ac:dyDescent="0.2">
      <c r="A120" s="41" t="s">
        <v>234</v>
      </c>
      <c r="B120" s="38">
        <v>981</v>
      </c>
      <c r="C120" s="38">
        <v>981</v>
      </c>
      <c r="D120" s="38">
        <v>1</v>
      </c>
      <c r="E120" s="41" t="s">
        <v>235</v>
      </c>
      <c r="F120" s="43"/>
      <c r="G120" s="43"/>
      <c r="H120" s="43"/>
      <c r="I120" s="43"/>
      <c r="J120" s="43"/>
      <c r="K120" s="43"/>
      <c r="L120" s="43"/>
      <c r="M120" s="43"/>
      <c r="N120" s="43"/>
      <c r="O120" s="43"/>
      <c r="P120" s="43"/>
    </row>
    <row r="121" spans="1:16" x14ac:dyDescent="0.2">
      <c r="A121" s="41" t="s">
        <v>236</v>
      </c>
      <c r="B121" s="38">
        <v>982</v>
      </c>
      <c r="C121" s="38">
        <v>984</v>
      </c>
      <c r="D121" s="38">
        <v>3</v>
      </c>
      <c r="E121" s="41" t="s">
        <v>237</v>
      </c>
      <c r="F121" s="43"/>
      <c r="G121" s="43"/>
      <c r="H121" s="43"/>
      <c r="I121" s="43"/>
      <c r="J121" s="43"/>
      <c r="K121" s="43"/>
      <c r="L121" s="43"/>
      <c r="M121" s="43"/>
      <c r="N121" s="43"/>
      <c r="O121" s="43"/>
      <c r="P121" s="43"/>
    </row>
    <row r="122" spans="1:16" x14ac:dyDescent="0.2">
      <c r="A122" s="42" t="s">
        <v>238</v>
      </c>
      <c r="B122" s="38">
        <v>985</v>
      </c>
      <c r="C122" s="38">
        <v>992</v>
      </c>
      <c r="D122" s="38">
        <v>8</v>
      </c>
      <c r="E122" s="41" t="s">
        <v>239</v>
      </c>
      <c r="F122" s="43"/>
      <c r="G122" s="43"/>
      <c r="H122" s="43"/>
      <c r="I122" s="43"/>
      <c r="J122" s="43"/>
      <c r="K122" s="43"/>
      <c r="L122" s="43"/>
      <c r="M122" s="43"/>
      <c r="N122" s="43"/>
      <c r="O122" s="43"/>
      <c r="P122" s="43"/>
    </row>
    <row r="123" spans="1:16" x14ac:dyDescent="0.2">
      <c r="A123" s="42" t="s">
        <v>240</v>
      </c>
      <c r="B123" s="38">
        <v>993</v>
      </c>
      <c r="C123" s="38">
        <v>996</v>
      </c>
      <c r="D123" s="38">
        <v>4</v>
      </c>
      <c r="E123" s="41" t="s">
        <v>241</v>
      </c>
      <c r="F123" s="43"/>
      <c r="G123" s="43"/>
      <c r="H123" s="43"/>
      <c r="I123" s="43"/>
      <c r="J123" s="43"/>
      <c r="K123" s="43"/>
      <c r="L123" s="43"/>
      <c r="M123" s="43"/>
      <c r="N123" s="43"/>
      <c r="O123" s="43"/>
      <c r="P123" s="43"/>
    </row>
    <row r="124" spans="1:16" x14ac:dyDescent="0.2">
      <c r="A124" s="42" t="s">
        <v>242</v>
      </c>
      <c r="B124" s="38">
        <v>997</v>
      </c>
      <c r="C124" s="38">
        <v>1011</v>
      </c>
      <c r="D124" s="38">
        <v>15</v>
      </c>
      <c r="E124" s="41" t="s">
        <v>243</v>
      </c>
      <c r="F124" s="43"/>
      <c r="G124" s="43"/>
      <c r="H124" s="43"/>
      <c r="I124" s="43"/>
      <c r="J124" s="43"/>
      <c r="K124" s="43"/>
      <c r="L124" s="43"/>
      <c r="M124" s="43"/>
      <c r="N124" s="43"/>
      <c r="O124" s="43"/>
      <c r="P124" s="43"/>
    </row>
    <row r="125" spans="1:16" ht="38.25" x14ac:dyDescent="0.2">
      <c r="A125" s="37" t="s">
        <v>244</v>
      </c>
      <c r="B125" s="38">
        <v>1012</v>
      </c>
      <c r="C125" s="38">
        <v>1019</v>
      </c>
      <c r="D125" s="39">
        <v>8</v>
      </c>
      <c r="E125" s="40" t="s">
        <v>50</v>
      </c>
      <c r="F125" s="43"/>
      <c r="G125" s="43"/>
      <c r="H125" s="43"/>
      <c r="I125" s="43"/>
      <c r="J125" s="43"/>
      <c r="K125" s="43"/>
      <c r="L125" s="43"/>
      <c r="M125" s="43"/>
      <c r="N125" s="43"/>
      <c r="O125" s="43"/>
      <c r="P125" s="43"/>
    </row>
    <row r="126" spans="1:16" x14ac:dyDescent="0.2">
      <c r="A126" s="37" t="s">
        <v>245</v>
      </c>
      <c r="B126" s="38">
        <v>1020</v>
      </c>
      <c r="C126" s="38">
        <v>1069</v>
      </c>
      <c r="D126" s="39">
        <v>50</v>
      </c>
      <c r="E126" s="40" t="s">
        <v>53</v>
      </c>
      <c r="F126" s="43"/>
      <c r="G126" s="43"/>
      <c r="H126" s="43"/>
      <c r="I126" s="43"/>
      <c r="J126" s="43"/>
      <c r="K126" s="43"/>
      <c r="L126" s="43"/>
      <c r="M126" s="43"/>
      <c r="N126" s="43"/>
      <c r="O126" s="43"/>
      <c r="P126" s="43"/>
    </row>
    <row r="127" spans="1:16" x14ac:dyDescent="0.2">
      <c r="A127" s="37" t="s">
        <v>194</v>
      </c>
      <c r="B127" s="38">
        <v>1070</v>
      </c>
      <c r="C127" s="38">
        <v>1110</v>
      </c>
      <c r="D127" s="39">
        <v>41</v>
      </c>
      <c r="E127" s="40" t="s">
        <v>200</v>
      </c>
      <c r="F127" s="43"/>
      <c r="G127" s="43"/>
      <c r="H127" s="43"/>
      <c r="I127" s="43"/>
      <c r="J127" s="43"/>
      <c r="K127" s="43"/>
      <c r="L127" s="43"/>
      <c r="M127" s="43"/>
      <c r="N127" s="43"/>
      <c r="O127" s="43"/>
      <c r="P127" s="43"/>
    </row>
    <row r="128" spans="1:16" ht="25.5" x14ac:dyDescent="0.2">
      <c r="A128" s="44" t="s">
        <v>246</v>
      </c>
      <c r="B128" s="44"/>
      <c r="C128" s="44"/>
      <c r="D128" s="45">
        <v>1</v>
      </c>
      <c r="E128" s="46" t="s">
        <v>247</v>
      </c>
      <c r="F128" s="43"/>
      <c r="G128" s="43"/>
      <c r="H128" s="43"/>
      <c r="I128" s="43"/>
      <c r="J128" s="43"/>
      <c r="K128" s="43"/>
      <c r="L128" s="43"/>
      <c r="M128" s="43"/>
      <c r="N128" s="43"/>
      <c r="O128" s="43"/>
      <c r="P128" s="43"/>
    </row>
    <row r="129" spans="1:16" x14ac:dyDescent="0.2">
      <c r="A129" s="47" t="s">
        <v>248</v>
      </c>
      <c r="B129" s="47"/>
      <c r="C129" s="47"/>
      <c r="D129" s="48">
        <v>1</v>
      </c>
      <c r="E129" s="47" t="s">
        <v>249</v>
      </c>
      <c r="F129" s="43"/>
      <c r="G129" s="43"/>
      <c r="H129" s="43"/>
      <c r="I129" s="43"/>
      <c r="J129" s="43"/>
      <c r="K129" s="43"/>
      <c r="L129" s="43"/>
      <c r="M129" s="43"/>
      <c r="N129" s="43"/>
      <c r="O129" s="43"/>
      <c r="P129" s="43"/>
    </row>
    <row r="130" spans="1:16" x14ac:dyDescent="0.2">
      <c r="A130" s="47" t="s">
        <v>250</v>
      </c>
      <c r="B130" s="47"/>
      <c r="C130" s="47"/>
      <c r="D130" s="48">
        <v>1</v>
      </c>
      <c r="E130" s="47" t="s">
        <v>251</v>
      </c>
      <c r="F130" s="43"/>
      <c r="G130" s="43"/>
      <c r="H130" s="43"/>
      <c r="I130" s="43"/>
      <c r="J130" s="43"/>
      <c r="K130" s="43"/>
      <c r="L130" s="43"/>
      <c r="M130" s="43"/>
      <c r="N130" s="43"/>
      <c r="O130" s="43"/>
      <c r="P130" s="43"/>
    </row>
    <row r="131" spans="1:16" x14ac:dyDescent="0.2">
      <c r="A131" s="47" t="s">
        <v>252</v>
      </c>
      <c r="B131" s="47"/>
      <c r="C131" s="47"/>
      <c r="D131" s="48">
        <v>1</v>
      </c>
      <c r="E131" s="47" t="s">
        <v>253</v>
      </c>
      <c r="F131" s="43"/>
      <c r="G131" s="43"/>
      <c r="H131" s="43"/>
      <c r="I131" s="43"/>
      <c r="J131" s="43"/>
      <c r="K131" s="43"/>
      <c r="L131" s="43"/>
      <c r="M131" s="43"/>
      <c r="N131" s="43"/>
      <c r="O131" s="43"/>
      <c r="P131" s="43"/>
    </row>
    <row r="132" spans="1:16" x14ac:dyDescent="0.2">
      <c r="A132" s="47" t="s">
        <v>254</v>
      </c>
      <c r="B132" s="47"/>
      <c r="C132" s="47"/>
      <c r="D132" s="48">
        <v>1</v>
      </c>
      <c r="E132" s="47" t="s">
        <v>255</v>
      </c>
      <c r="F132" s="43"/>
      <c r="G132" s="43"/>
      <c r="H132" s="43"/>
      <c r="I132" s="43"/>
      <c r="J132" s="43"/>
      <c r="K132" s="43"/>
      <c r="L132" s="43"/>
      <c r="M132" s="43"/>
      <c r="N132" s="43"/>
      <c r="O132" s="43"/>
      <c r="P132" s="43"/>
    </row>
    <row r="133" spans="1:16" x14ac:dyDescent="0.2">
      <c r="A133" s="47" t="s">
        <v>256</v>
      </c>
      <c r="B133" s="47"/>
      <c r="C133" s="47"/>
      <c r="D133" s="48">
        <v>11</v>
      </c>
      <c r="E133" s="47" t="s">
        <v>257</v>
      </c>
      <c r="F133" s="43"/>
      <c r="G133" s="43"/>
      <c r="H133" s="43"/>
      <c r="I133" s="43"/>
      <c r="J133" s="43"/>
      <c r="K133" s="43"/>
      <c r="L133" s="43"/>
      <c r="M133" s="43"/>
      <c r="N133" s="43"/>
      <c r="O133" s="43"/>
      <c r="P133" s="43"/>
    </row>
    <row r="134" spans="1:16" ht="51" x14ac:dyDescent="0.2">
      <c r="A134" s="49" t="s">
        <v>258</v>
      </c>
      <c r="B134" s="47"/>
      <c r="C134" s="47"/>
      <c r="D134" s="48">
        <v>18</v>
      </c>
      <c r="E134" s="50" t="s">
        <v>259</v>
      </c>
      <c r="F134" s="43"/>
      <c r="G134" s="43"/>
      <c r="H134" s="43"/>
      <c r="I134" s="43"/>
      <c r="J134" s="43"/>
      <c r="K134" s="43"/>
      <c r="L134" s="43"/>
      <c r="M134" s="43"/>
      <c r="N134" s="43"/>
      <c r="O134" s="43"/>
      <c r="P134" s="43"/>
    </row>
    <row r="135" spans="1:16" ht="38.25" x14ac:dyDescent="0.2">
      <c r="A135" s="49" t="s">
        <v>260</v>
      </c>
      <c r="B135" s="47"/>
      <c r="C135" s="47"/>
      <c r="D135" s="48">
        <v>18</v>
      </c>
      <c r="E135" s="50" t="s">
        <v>261</v>
      </c>
      <c r="F135" s="43"/>
      <c r="G135" s="43"/>
      <c r="H135" s="43"/>
      <c r="I135" s="43"/>
      <c r="J135" s="43"/>
      <c r="K135" s="43"/>
      <c r="L135" s="43"/>
      <c r="M135" s="43"/>
      <c r="N135" s="43"/>
      <c r="O135" s="43"/>
      <c r="P135" s="43"/>
    </row>
    <row r="136" spans="1:16" ht="76.5" x14ac:dyDescent="0.2">
      <c r="A136" s="49" t="s">
        <v>262</v>
      </c>
      <c r="B136" s="47"/>
      <c r="C136" s="47"/>
      <c r="D136" s="48">
        <v>1</v>
      </c>
      <c r="E136" s="50" t="s">
        <v>263</v>
      </c>
      <c r="F136" s="43"/>
      <c r="G136" s="43"/>
      <c r="H136" s="43"/>
      <c r="I136" s="43"/>
      <c r="J136" s="43"/>
      <c r="K136" s="43"/>
      <c r="L136" s="43"/>
      <c r="M136" s="43"/>
      <c r="N136" s="43"/>
      <c r="O136" s="43"/>
      <c r="P136" s="43"/>
    </row>
    <row r="137" spans="1:16" ht="63.75" x14ac:dyDescent="0.2">
      <c r="A137" s="49" t="s">
        <v>264</v>
      </c>
      <c r="B137" s="47"/>
      <c r="C137" s="47"/>
      <c r="D137" s="48">
        <v>1</v>
      </c>
      <c r="E137" s="51" t="s">
        <v>265</v>
      </c>
      <c r="F137" s="43"/>
      <c r="G137" s="43"/>
      <c r="H137" s="43"/>
      <c r="I137" s="43"/>
      <c r="J137" s="43"/>
      <c r="K137" s="43"/>
      <c r="L137" s="43"/>
      <c r="M137" s="43"/>
      <c r="N137" s="43"/>
      <c r="O137" s="43"/>
      <c r="P137" s="43"/>
    </row>
    <row r="138" spans="1:16" ht="51" x14ac:dyDescent="0.2">
      <c r="A138" s="49" t="s">
        <v>266</v>
      </c>
      <c r="B138" s="47"/>
      <c r="C138" s="47"/>
      <c r="D138" s="48">
        <v>9</v>
      </c>
      <c r="E138" s="50" t="s">
        <v>267</v>
      </c>
      <c r="F138" s="43"/>
      <c r="G138" s="43"/>
      <c r="H138" s="43"/>
      <c r="I138" s="43"/>
      <c r="J138" s="43"/>
      <c r="K138" s="43"/>
      <c r="L138" s="43"/>
      <c r="M138" s="43"/>
      <c r="N138" s="43"/>
      <c r="O138" s="43"/>
      <c r="P138" s="43"/>
    </row>
    <row r="139" spans="1:16" ht="51" x14ac:dyDescent="0.2">
      <c r="A139" s="49" t="s">
        <v>268</v>
      </c>
      <c r="B139" s="47"/>
      <c r="C139" s="47"/>
      <c r="D139" s="48">
        <v>15</v>
      </c>
      <c r="E139" s="52" t="s">
        <v>269</v>
      </c>
      <c r="F139" s="43"/>
      <c r="G139" s="43"/>
      <c r="H139" s="43"/>
      <c r="I139" s="43"/>
      <c r="J139" s="43"/>
      <c r="K139" s="43"/>
      <c r="L139" s="43"/>
      <c r="M139" s="43"/>
      <c r="N139" s="43"/>
      <c r="O139" s="43"/>
      <c r="P139" s="43"/>
    </row>
    <row r="140" spans="1:16" ht="127.5" x14ac:dyDescent="0.2">
      <c r="A140" s="49" t="s">
        <v>270</v>
      </c>
      <c r="B140" s="47"/>
      <c r="C140" s="47"/>
      <c r="D140" s="48">
        <v>2</v>
      </c>
      <c r="E140" s="52" t="s">
        <v>271</v>
      </c>
      <c r="F140" s="43"/>
      <c r="G140" s="43"/>
      <c r="H140" s="43"/>
      <c r="I140" s="43"/>
      <c r="J140" s="43"/>
      <c r="K140" s="43"/>
      <c r="L140" s="43"/>
      <c r="M140" s="43"/>
      <c r="N140" s="43"/>
      <c r="O140" s="43"/>
      <c r="P140" s="43"/>
    </row>
    <row r="141" spans="1:16" x14ac:dyDescent="0.2">
      <c r="A141" s="49" t="s">
        <v>272</v>
      </c>
      <c r="B141" s="47"/>
      <c r="C141" s="47"/>
      <c r="D141" s="48">
        <v>28</v>
      </c>
      <c r="E141" s="52" t="s">
        <v>273</v>
      </c>
      <c r="F141" s="43"/>
      <c r="G141" s="43"/>
      <c r="H141" s="43"/>
      <c r="I141" s="43"/>
      <c r="J141" s="43"/>
      <c r="K141" s="43"/>
      <c r="L141" s="43"/>
      <c r="M141" s="43"/>
      <c r="N141" s="43"/>
      <c r="O141" s="43"/>
      <c r="P141" s="43"/>
    </row>
    <row r="142" spans="1:16" ht="140.25" x14ac:dyDescent="0.2">
      <c r="A142" s="49" t="s">
        <v>274</v>
      </c>
      <c r="B142" s="47"/>
      <c r="C142" s="47"/>
      <c r="D142" s="48">
        <v>5</v>
      </c>
      <c r="E142" s="52" t="s">
        <v>275</v>
      </c>
      <c r="F142" s="43"/>
      <c r="G142" s="43"/>
      <c r="H142" s="43"/>
      <c r="I142" s="43"/>
      <c r="J142" s="43"/>
      <c r="K142" s="43"/>
      <c r="L142" s="43"/>
      <c r="M142" s="43"/>
      <c r="N142" s="43"/>
      <c r="O142" s="43"/>
      <c r="P142" s="43"/>
    </row>
    <row r="143" spans="1:16" ht="127.5" x14ac:dyDescent="0.2">
      <c r="A143" s="49" t="s">
        <v>276</v>
      </c>
      <c r="B143" s="47"/>
      <c r="C143" s="47"/>
      <c r="D143" s="48">
        <v>2</v>
      </c>
      <c r="E143" s="52" t="s">
        <v>277</v>
      </c>
      <c r="F143" s="43"/>
      <c r="G143" s="43"/>
      <c r="H143" s="43"/>
      <c r="I143" s="43"/>
      <c r="J143" s="43"/>
      <c r="K143" s="43"/>
      <c r="L143" s="43"/>
      <c r="M143" s="43"/>
      <c r="N143" s="43"/>
      <c r="O143" s="43"/>
      <c r="P143" s="43"/>
    </row>
    <row r="144" spans="1:16" ht="25.5" x14ac:dyDescent="0.2">
      <c r="A144" s="49" t="s">
        <v>278</v>
      </c>
      <c r="B144" s="47"/>
      <c r="C144" s="47"/>
      <c r="D144" s="48">
        <v>20</v>
      </c>
      <c r="E144" s="52" t="s">
        <v>279</v>
      </c>
      <c r="F144" s="43"/>
      <c r="G144" s="43"/>
      <c r="H144" s="43"/>
      <c r="I144" s="43"/>
      <c r="J144" s="43"/>
      <c r="K144" s="43"/>
      <c r="L144" s="43"/>
      <c r="M144" s="43"/>
      <c r="N144" s="43"/>
      <c r="O144" s="43"/>
      <c r="P144" s="43"/>
    </row>
    <row r="145" spans="1:16" ht="51" x14ac:dyDescent="0.2">
      <c r="A145" s="49" t="s">
        <v>280</v>
      </c>
      <c r="B145" s="47"/>
      <c r="C145" s="47"/>
      <c r="D145" s="48">
        <v>15</v>
      </c>
      <c r="E145" s="52" t="s">
        <v>281</v>
      </c>
      <c r="F145" s="43"/>
      <c r="G145" s="43"/>
      <c r="H145" s="43"/>
      <c r="I145" s="43"/>
      <c r="J145" s="43"/>
      <c r="K145" s="43"/>
      <c r="L145" s="43"/>
      <c r="M145" s="43"/>
      <c r="N145" s="43"/>
      <c r="O145" s="43"/>
      <c r="P145" s="43"/>
    </row>
    <row r="146" spans="1:16" ht="127.5" x14ac:dyDescent="0.2">
      <c r="A146" s="49" t="s">
        <v>282</v>
      </c>
      <c r="B146" s="47"/>
      <c r="C146" s="47"/>
      <c r="D146" s="48">
        <v>2</v>
      </c>
      <c r="E146" s="52" t="s">
        <v>283</v>
      </c>
      <c r="F146" s="43"/>
      <c r="G146" s="43"/>
      <c r="H146" s="43"/>
      <c r="I146" s="43"/>
      <c r="J146" s="43"/>
      <c r="K146" s="43"/>
      <c r="L146" s="43"/>
      <c r="M146" s="43"/>
      <c r="N146" s="43"/>
      <c r="O146" s="43"/>
      <c r="P146" s="43"/>
    </row>
    <row r="147" spans="1:16" x14ac:dyDescent="0.2">
      <c r="A147" s="49" t="s">
        <v>284</v>
      </c>
      <c r="B147" s="47"/>
      <c r="C147" s="47"/>
      <c r="D147" s="48">
        <v>28</v>
      </c>
      <c r="E147" s="52" t="s">
        <v>285</v>
      </c>
      <c r="F147" s="43"/>
      <c r="G147" s="43"/>
      <c r="H147" s="43"/>
      <c r="I147" s="43"/>
      <c r="J147" s="43"/>
      <c r="K147" s="43"/>
      <c r="L147" s="43"/>
      <c r="M147" s="43"/>
      <c r="N147" s="43"/>
      <c r="O147" s="43"/>
      <c r="P147" s="43"/>
    </row>
    <row r="148" spans="1:16" ht="140.25" x14ac:dyDescent="0.2">
      <c r="A148" s="49" t="s">
        <v>286</v>
      </c>
      <c r="B148" s="47"/>
      <c r="C148" s="47"/>
      <c r="D148" s="48">
        <v>5</v>
      </c>
      <c r="E148" s="52" t="s">
        <v>287</v>
      </c>
      <c r="F148" s="43"/>
      <c r="G148" s="43"/>
      <c r="H148" s="43"/>
      <c r="I148" s="43"/>
      <c r="J148" s="43"/>
      <c r="K148" s="43"/>
      <c r="L148" s="43"/>
      <c r="M148" s="43"/>
      <c r="N148" s="43"/>
      <c r="O148" s="43"/>
      <c r="P148" s="43"/>
    </row>
    <row r="149" spans="1:16" ht="127.5" x14ac:dyDescent="0.2">
      <c r="A149" s="49" t="s">
        <v>288</v>
      </c>
      <c r="B149" s="47"/>
      <c r="C149" s="47"/>
      <c r="D149" s="48">
        <v>2</v>
      </c>
      <c r="E149" s="52" t="s">
        <v>289</v>
      </c>
      <c r="F149" s="43"/>
      <c r="G149" s="43"/>
      <c r="H149" s="43"/>
      <c r="I149" s="43"/>
      <c r="J149" s="43"/>
      <c r="K149" s="43"/>
      <c r="L149" s="43"/>
      <c r="M149" s="43"/>
      <c r="N149" s="43"/>
      <c r="O149" s="43"/>
      <c r="P149" s="43"/>
    </row>
    <row r="150" spans="1:16" ht="25.5" x14ac:dyDescent="0.2">
      <c r="A150" s="49" t="s">
        <v>290</v>
      </c>
      <c r="B150" s="47"/>
      <c r="C150" s="47"/>
      <c r="D150" s="48">
        <v>20</v>
      </c>
      <c r="E150" s="52" t="s">
        <v>291</v>
      </c>
      <c r="F150" s="43"/>
      <c r="G150" s="43"/>
      <c r="H150" s="43"/>
      <c r="I150" s="43"/>
      <c r="J150" s="43"/>
      <c r="K150" s="43"/>
      <c r="L150" s="43"/>
      <c r="M150" s="43"/>
      <c r="N150" s="43"/>
      <c r="O150" s="43"/>
      <c r="P150" s="43"/>
    </row>
    <row r="151" spans="1:16" ht="204" x14ac:dyDescent="0.2">
      <c r="A151" s="49" t="s">
        <v>292</v>
      </c>
      <c r="B151" s="47"/>
      <c r="C151" s="47"/>
      <c r="D151" s="48">
        <v>2</v>
      </c>
      <c r="E151" s="52" t="s">
        <v>293</v>
      </c>
      <c r="F151" s="43"/>
      <c r="G151" s="43"/>
      <c r="H151" s="43"/>
      <c r="I151" s="43"/>
      <c r="J151" s="43"/>
      <c r="K151" s="43"/>
      <c r="L151" s="43"/>
      <c r="M151" s="43"/>
      <c r="N151" s="43"/>
      <c r="O151" s="43"/>
      <c r="P151" s="43"/>
    </row>
    <row r="152" spans="1:16" ht="51" x14ac:dyDescent="0.2">
      <c r="A152" s="49" t="s">
        <v>294</v>
      </c>
      <c r="B152" s="47"/>
      <c r="C152" s="47"/>
      <c r="D152" s="48">
        <v>1</v>
      </c>
      <c r="E152" s="53" t="s">
        <v>295</v>
      </c>
      <c r="F152" s="43"/>
      <c r="G152" s="43"/>
      <c r="H152" s="43"/>
      <c r="I152" s="43"/>
      <c r="J152" s="43"/>
      <c r="K152" s="43"/>
      <c r="L152" s="43"/>
      <c r="M152" s="43"/>
      <c r="N152" s="43"/>
      <c r="O152" s="43"/>
      <c r="P152" s="43"/>
    </row>
    <row r="153" spans="1:16" x14ac:dyDescent="0.2">
      <c r="A153" s="49" t="s">
        <v>296</v>
      </c>
      <c r="B153" s="47"/>
      <c r="C153" s="47"/>
      <c r="D153" s="48">
        <v>14</v>
      </c>
      <c r="E153" s="47" t="s">
        <v>297</v>
      </c>
      <c r="F153" s="43"/>
      <c r="G153" s="43"/>
      <c r="H153" s="43"/>
      <c r="I153" s="43"/>
      <c r="J153" s="43"/>
      <c r="K153" s="43"/>
      <c r="L153" s="43"/>
      <c r="M153" s="43"/>
      <c r="N153" s="43"/>
      <c r="O153" s="43"/>
      <c r="P153" s="43"/>
    </row>
    <row r="154" spans="1:16" x14ac:dyDescent="0.2">
      <c r="A154" s="49" t="s">
        <v>298</v>
      </c>
      <c r="B154" s="47"/>
      <c r="C154" s="47"/>
      <c r="D154" s="48">
        <v>11</v>
      </c>
      <c r="E154" s="47" t="s">
        <v>299</v>
      </c>
      <c r="F154" s="43"/>
      <c r="G154" s="43"/>
      <c r="H154" s="43"/>
      <c r="I154" s="43"/>
      <c r="J154" s="43"/>
      <c r="K154" s="43"/>
      <c r="L154" s="43"/>
      <c r="M154" s="43"/>
      <c r="N154" s="43"/>
      <c r="O154" s="43"/>
      <c r="P154" s="43"/>
    </row>
    <row r="155" spans="1:16" x14ac:dyDescent="0.2">
      <c r="A155" s="49" t="s">
        <v>300</v>
      </c>
      <c r="B155" s="47"/>
      <c r="C155" s="47"/>
      <c r="D155" s="48">
        <v>3</v>
      </c>
      <c r="E155" s="47" t="s">
        <v>301</v>
      </c>
      <c r="F155" s="43"/>
      <c r="G155" s="43"/>
      <c r="H155" s="43"/>
      <c r="I155" s="43"/>
      <c r="J155" s="43"/>
      <c r="K155" s="43"/>
      <c r="L155" s="43"/>
      <c r="M155" s="43"/>
      <c r="N155" s="43"/>
      <c r="O155" s="43"/>
      <c r="P155" s="43"/>
    </row>
    <row r="156" spans="1:16" x14ac:dyDescent="0.2">
      <c r="A156" s="49" t="s">
        <v>302</v>
      </c>
      <c r="B156" s="47"/>
      <c r="C156" s="47"/>
      <c r="D156" s="48">
        <v>1</v>
      </c>
      <c r="E156" s="47" t="s">
        <v>303</v>
      </c>
      <c r="F156" s="43"/>
      <c r="G156" s="43"/>
      <c r="H156" s="43"/>
      <c r="I156" s="43"/>
      <c r="J156" s="43"/>
      <c r="K156" s="43"/>
      <c r="L156" s="43"/>
      <c r="M156" s="43"/>
      <c r="N156" s="43"/>
      <c r="O156" s="43"/>
      <c r="P156" s="43"/>
    </row>
    <row r="157" spans="1:16" x14ac:dyDescent="0.2">
      <c r="A157" s="54" t="s">
        <v>304</v>
      </c>
      <c r="B157" s="44"/>
      <c r="C157" s="44"/>
      <c r="D157" s="45">
        <v>8</v>
      </c>
      <c r="E157" s="55" t="s">
        <v>305</v>
      </c>
      <c r="F157" s="43"/>
      <c r="G157" s="43"/>
      <c r="H157" s="43"/>
      <c r="I157" s="43"/>
      <c r="J157" s="43"/>
      <c r="K157" s="43"/>
      <c r="L157" s="43"/>
      <c r="M157" s="43"/>
      <c r="N157" s="43"/>
      <c r="O157" s="43"/>
      <c r="P157" s="43"/>
    </row>
    <row r="158" spans="1:16" x14ac:dyDescent="0.2">
      <c r="A158" s="56" t="s">
        <v>306</v>
      </c>
      <c r="B158" s="47"/>
      <c r="C158" s="47"/>
      <c r="D158" s="48">
        <v>1</v>
      </c>
      <c r="E158" s="47" t="s">
        <v>307</v>
      </c>
      <c r="F158" s="43"/>
      <c r="G158" s="43"/>
      <c r="H158" s="43"/>
      <c r="I158" s="43"/>
      <c r="J158" s="43"/>
      <c r="K158" s="43"/>
      <c r="L158" s="43"/>
      <c r="M158" s="43"/>
      <c r="N158" s="43"/>
      <c r="O158" s="43"/>
      <c r="P158" s="43"/>
    </row>
    <row r="159" spans="1:16" x14ac:dyDescent="0.2">
      <c r="A159" s="56" t="s">
        <v>308</v>
      </c>
      <c r="B159" s="47"/>
      <c r="C159" s="47"/>
      <c r="D159" s="48">
        <v>9</v>
      </c>
      <c r="E159" s="50" t="s">
        <v>309</v>
      </c>
      <c r="F159" s="43"/>
      <c r="G159" s="43"/>
      <c r="H159" s="43"/>
      <c r="I159" s="43"/>
      <c r="J159" s="43"/>
      <c r="K159" s="43"/>
      <c r="L159" s="43"/>
      <c r="M159" s="43"/>
      <c r="N159" s="43"/>
      <c r="O159" s="43"/>
      <c r="P159" s="43"/>
    </row>
    <row r="160" spans="1:16" ht="51" x14ac:dyDescent="0.2">
      <c r="A160" s="57" t="s">
        <v>310</v>
      </c>
      <c r="B160" s="58"/>
      <c r="C160" s="58"/>
      <c r="D160" s="59">
        <v>1</v>
      </c>
      <c r="E160" s="60" t="s">
        <v>311</v>
      </c>
      <c r="F160" s="43"/>
      <c r="G160" s="43"/>
      <c r="H160" s="43"/>
      <c r="I160" s="43"/>
      <c r="J160" s="43"/>
      <c r="K160" s="43"/>
      <c r="L160" s="43"/>
      <c r="M160" s="43"/>
      <c r="N160" s="43"/>
      <c r="O160" s="43"/>
      <c r="P160" s="43"/>
    </row>
    <row r="161" spans="1:16" ht="25.5" x14ac:dyDescent="0.2">
      <c r="A161" s="61" t="s">
        <v>312</v>
      </c>
      <c r="B161" s="58"/>
      <c r="C161" s="58"/>
      <c r="D161" s="59">
        <v>10</v>
      </c>
      <c r="E161" s="62" t="s">
        <v>313</v>
      </c>
      <c r="F161" s="43"/>
      <c r="G161" s="43"/>
      <c r="H161" s="43"/>
      <c r="I161" s="43"/>
      <c r="J161" s="43"/>
      <c r="K161" s="43"/>
      <c r="L161" s="43"/>
      <c r="M161" s="43"/>
      <c r="N161" s="43"/>
      <c r="O161" s="43"/>
      <c r="P161" s="43"/>
    </row>
    <row r="162" spans="1:16" x14ac:dyDescent="0.2">
      <c r="A162" s="57" t="s">
        <v>314</v>
      </c>
      <c r="B162" s="58"/>
      <c r="C162" s="58"/>
      <c r="D162" s="59">
        <v>10</v>
      </c>
      <c r="E162" s="63" t="s">
        <v>315</v>
      </c>
      <c r="F162" s="43"/>
      <c r="G162" s="43"/>
      <c r="H162" s="43"/>
      <c r="I162" s="43"/>
      <c r="J162" s="43"/>
      <c r="K162" s="43"/>
      <c r="L162" s="43"/>
      <c r="M162" s="43"/>
      <c r="N162" s="43"/>
      <c r="O162" s="43"/>
      <c r="P162" s="43"/>
    </row>
    <row r="163" spans="1:16" ht="63.75" x14ac:dyDescent="0.2">
      <c r="A163" s="57" t="s">
        <v>316</v>
      </c>
      <c r="B163" s="58"/>
      <c r="C163" s="58"/>
      <c r="D163" s="59">
        <v>1</v>
      </c>
      <c r="E163" s="64" t="s">
        <v>317</v>
      </c>
      <c r="F163" s="43"/>
      <c r="G163" s="43"/>
      <c r="H163" s="43"/>
      <c r="I163" s="43"/>
      <c r="J163" s="43"/>
      <c r="K163" s="43"/>
      <c r="L163" s="43"/>
      <c r="M163" s="43"/>
      <c r="N163" s="43"/>
      <c r="O163" s="43"/>
      <c r="P163" s="43"/>
    </row>
    <row r="164" spans="1:16" ht="127.5" x14ac:dyDescent="0.2">
      <c r="A164" s="57" t="s">
        <v>318</v>
      </c>
      <c r="B164" s="58"/>
      <c r="C164" s="58"/>
      <c r="D164" s="59">
        <v>1</v>
      </c>
      <c r="E164" s="53" t="s">
        <v>319</v>
      </c>
      <c r="F164" s="43"/>
      <c r="G164" s="43"/>
      <c r="H164" s="43"/>
      <c r="I164" s="43"/>
      <c r="J164" s="43"/>
      <c r="K164" s="43"/>
      <c r="L164" s="43"/>
      <c r="M164" s="43"/>
      <c r="N164" s="43"/>
      <c r="O164" s="43"/>
      <c r="P164" s="43"/>
    </row>
    <row r="165" spans="1:16" ht="51" x14ac:dyDescent="0.2">
      <c r="A165" s="57" t="s">
        <v>320</v>
      </c>
      <c r="B165" s="58"/>
      <c r="C165" s="58"/>
      <c r="D165" s="59">
        <v>1</v>
      </c>
      <c r="E165" s="65" t="s">
        <v>321</v>
      </c>
      <c r="F165" s="43"/>
      <c r="G165" s="43"/>
      <c r="H165" s="43"/>
      <c r="I165" s="43"/>
      <c r="J165" s="43"/>
      <c r="K165" s="43"/>
      <c r="L165" s="43"/>
      <c r="M165" s="43"/>
      <c r="N165" s="43"/>
      <c r="O165" s="43"/>
      <c r="P165" s="43"/>
    </row>
    <row r="166" spans="1:16" ht="89.25" x14ac:dyDescent="0.2">
      <c r="A166" s="57" t="s">
        <v>322</v>
      </c>
      <c r="B166" s="58"/>
      <c r="C166" s="58"/>
      <c r="D166" s="59">
        <v>1</v>
      </c>
      <c r="E166" s="66" t="s">
        <v>323</v>
      </c>
      <c r="F166" s="43"/>
      <c r="G166" s="43"/>
      <c r="H166" s="43"/>
      <c r="I166" s="43"/>
      <c r="J166" s="43"/>
      <c r="K166" s="43"/>
      <c r="L166" s="43"/>
      <c r="M166" s="43"/>
      <c r="N166" s="43"/>
      <c r="O166" s="43"/>
      <c r="P166" s="43"/>
    </row>
    <row r="167" spans="1:16" ht="76.5" x14ac:dyDescent="0.2">
      <c r="A167" s="57" t="s">
        <v>324</v>
      </c>
      <c r="B167" s="58"/>
      <c r="C167" s="58"/>
      <c r="D167" s="59">
        <v>1</v>
      </c>
      <c r="E167" s="67" t="s">
        <v>325</v>
      </c>
      <c r="F167" s="43"/>
      <c r="G167" s="43"/>
      <c r="H167" s="43"/>
      <c r="I167" s="43"/>
      <c r="J167" s="43"/>
      <c r="K167" s="43"/>
      <c r="L167" s="43"/>
      <c r="M167" s="43"/>
      <c r="N167" s="43"/>
      <c r="O167" s="43"/>
      <c r="P167" s="43"/>
    </row>
    <row r="168" spans="1:16" ht="38.25" x14ac:dyDescent="0.2">
      <c r="A168" s="57" t="s">
        <v>326</v>
      </c>
      <c r="B168" s="58"/>
      <c r="C168" s="58"/>
      <c r="D168" s="59">
        <v>6</v>
      </c>
      <c r="E168" s="68" t="s">
        <v>327</v>
      </c>
      <c r="F168" s="43"/>
      <c r="G168" s="43"/>
      <c r="H168" s="43"/>
      <c r="I168" s="43"/>
      <c r="J168" s="43"/>
      <c r="K168" s="43"/>
      <c r="L168" s="43"/>
      <c r="M168" s="43"/>
      <c r="N168" s="43"/>
      <c r="O168" s="43"/>
      <c r="P168" s="43"/>
    </row>
    <row r="169" spans="1:16" x14ac:dyDescent="0.2">
      <c r="A169" s="57" t="s">
        <v>328</v>
      </c>
      <c r="B169" s="58"/>
      <c r="C169" s="58"/>
      <c r="D169" s="59">
        <v>50</v>
      </c>
      <c r="E169" s="69" t="s">
        <v>329</v>
      </c>
      <c r="F169" s="43"/>
      <c r="G169" s="43"/>
      <c r="H169" s="43"/>
      <c r="I169" s="43"/>
      <c r="J169" s="43"/>
      <c r="K169" s="43"/>
      <c r="L169" s="43"/>
      <c r="M169" s="43"/>
      <c r="N169" s="43"/>
      <c r="O169" s="43"/>
      <c r="P169" s="43"/>
    </row>
    <row r="170" spans="1:16" ht="38.25" x14ac:dyDescent="0.2">
      <c r="A170" s="57" t="s">
        <v>330</v>
      </c>
      <c r="B170" s="58"/>
      <c r="C170" s="58"/>
      <c r="D170" s="59">
        <v>6</v>
      </c>
      <c r="E170" s="70" t="s">
        <v>331</v>
      </c>
      <c r="F170" s="43"/>
      <c r="G170" s="43"/>
      <c r="H170" s="43"/>
      <c r="I170" s="43"/>
      <c r="J170" s="43"/>
      <c r="K170" s="43"/>
      <c r="L170" s="43"/>
      <c r="M170" s="43"/>
      <c r="N170" s="43"/>
      <c r="O170" s="43"/>
      <c r="P170" s="43"/>
    </row>
    <row r="171" spans="1:16" x14ac:dyDescent="0.2">
      <c r="A171" s="57" t="s">
        <v>332</v>
      </c>
      <c r="B171" s="58"/>
      <c r="C171" s="58"/>
      <c r="D171" s="59">
        <v>50</v>
      </c>
      <c r="E171" s="69" t="s">
        <v>333</v>
      </c>
      <c r="F171" s="43"/>
      <c r="G171" s="43"/>
      <c r="H171" s="43"/>
      <c r="I171" s="43"/>
      <c r="J171" s="43"/>
      <c r="K171" s="43"/>
      <c r="L171" s="43"/>
      <c r="M171" s="43"/>
      <c r="N171" s="43"/>
      <c r="O171" s="43"/>
      <c r="P171" s="43"/>
    </row>
    <row r="172" spans="1:16" ht="38.25" x14ac:dyDescent="0.2">
      <c r="A172" s="57" t="s">
        <v>334</v>
      </c>
      <c r="B172" s="58"/>
      <c r="C172" s="58"/>
      <c r="D172" s="59">
        <v>1</v>
      </c>
      <c r="E172" s="71" t="s">
        <v>335</v>
      </c>
      <c r="F172" s="43"/>
      <c r="G172" s="43"/>
      <c r="H172" s="43"/>
      <c r="I172" s="43"/>
      <c r="J172" s="43"/>
      <c r="K172" s="43"/>
      <c r="L172" s="43"/>
      <c r="M172" s="43"/>
      <c r="N172" s="43"/>
      <c r="O172" s="43"/>
      <c r="P172" s="43"/>
    </row>
    <row r="173" spans="1:16" ht="76.5" x14ac:dyDescent="0.2">
      <c r="A173" s="57" t="s">
        <v>336</v>
      </c>
      <c r="B173" s="58"/>
      <c r="C173" s="58"/>
      <c r="D173" s="59">
        <v>1</v>
      </c>
      <c r="E173" s="71" t="s">
        <v>337</v>
      </c>
      <c r="F173" s="43"/>
      <c r="G173" s="43"/>
      <c r="H173" s="43"/>
      <c r="I173" s="43"/>
      <c r="J173" s="43"/>
      <c r="K173" s="43"/>
      <c r="L173" s="43"/>
      <c r="M173" s="43"/>
      <c r="N173" s="43"/>
      <c r="O173" s="43"/>
      <c r="P173" s="43"/>
    </row>
    <row r="174" spans="1:16" ht="51" x14ac:dyDescent="0.2">
      <c r="A174" s="57" t="s">
        <v>338</v>
      </c>
      <c r="B174" s="58"/>
      <c r="C174" s="58"/>
      <c r="D174" s="59">
        <v>1</v>
      </c>
      <c r="E174" s="72" t="s">
        <v>339</v>
      </c>
      <c r="F174" s="43"/>
      <c r="G174" s="43"/>
      <c r="H174" s="43"/>
      <c r="I174" s="43"/>
      <c r="J174" s="43"/>
      <c r="K174" s="43"/>
      <c r="L174" s="43"/>
      <c r="M174" s="43"/>
      <c r="N174" s="43"/>
      <c r="O174" s="43"/>
      <c r="P174" s="43"/>
    </row>
    <row r="175" spans="1:16" ht="89.25" x14ac:dyDescent="0.2">
      <c r="A175" s="57" t="s">
        <v>340</v>
      </c>
      <c r="B175" s="58"/>
      <c r="C175" s="58"/>
      <c r="D175" s="59">
        <v>1</v>
      </c>
      <c r="E175" s="73" t="s">
        <v>365</v>
      </c>
      <c r="F175" s="43"/>
      <c r="G175" s="43"/>
      <c r="H175" s="43"/>
      <c r="I175" s="43"/>
      <c r="J175" s="43"/>
      <c r="K175" s="43"/>
      <c r="L175" s="43"/>
      <c r="M175" s="43"/>
      <c r="N175" s="43"/>
      <c r="O175" s="43"/>
      <c r="P175" s="43"/>
    </row>
    <row r="176" spans="1:16" ht="63.75" x14ac:dyDescent="0.2">
      <c r="A176" s="57" t="s">
        <v>341</v>
      </c>
      <c r="B176" s="58"/>
      <c r="C176" s="58"/>
      <c r="D176" s="59">
        <v>1</v>
      </c>
      <c r="E176" s="74" t="s">
        <v>342</v>
      </c>
      <c r="F176" s="43"/>
      <c r="G176" s="43"/>
      <c r="H176" s="43"/>
      <c r="I176" s="43"/>
      <c r="J176" s="43"/>
      <c r="K176" s="43"/>
      <c r="L176" s="43"/>
      <c r="M176" s="43"/>
      <c r="N176" s="43"/>
      <c r="O176" s="43"/>
      <c r="P176" s="43"/>
    </row>
    <row r="177" spans="1:16" ht="51" x14ac:dyDescent="0.2">
      <c r="A177" s="57" t="s">
        <v>343</v>
      </c>
      <c r="B177" s="58"/>
      <c r="C177" s="58"/>
      <c r="D177" s="59">
        <v>1</v>
      </c>
      <c r="E177" s="75" t="s">
        <v>344</v>
      </c>
      <c r="F177" s="43"/>
      <c r="G177" s="43"/>
      <c r="H177" s="43"/>
      <c r="I177" s="43"/>
      <c r="J177" s="43"/>
      <c r="K177" s="43"/>
      <c r="L177" s="43"/>
      <c r="M177" s="43"/>
      <c r="N177" s="43"/>
      <c r="O177" s="43"/>
      <c r="P177" s="43"/>
    </row>
    <row r="178" spans="1:16" ht="63.75" x14ac:dyDescent="0.2">
      <c r="A178" s="57" t="s">
        <v>345</v>
      </c>
      <c r="B178" s="58"/>
      <c r="C178" s="58"/>
      <c r="D178" s="59">
        <v>1</v>
      </c>
      <c r="E178" s="72" t="s">
        <v>346</v>
      </c>
      <c r="F178" s="43"/>
      <c r="G178" s="43"/>
      <c r="H178" s="43"/>
      <c r="I178" s="43"/>
      <c r="J178" s="43"/>
      <c r="K178" s="43"/>
      <c r="L178" s="43"/>
      <c r="M178" s="43"/>
      <c r="N178" s="43"/>
      <c r="O178" s="43"/>
      <c r="P178" s="43"/>
    </row>
    <row r="179" spans="1:16" ht="38.25" x14ac:dyDescent="0.2">
      <c r="A179" s="57" t="s">
        <v>347</v>
      </c>
      <c r="B179" s="58"/>
      <c r="C179" s="58"/>
      <c r="D179" s="59">
        <v>1</v>
      </c>
      <c r="E179" s="76" t="s">
        <v>348</v>
      </c>
      <c r="F179" s="43"/>
      <c r="G179" s="43"/>
      <c r="H179" s="43"/>
      <c r="I179" s="43"/>
      <c r="J179" s="43"/>
      <c r="K179" s="43"/>
      <c r="L179" s="43"/>
      <c r="M179" s="43"/>
      <c r="N179" s="43"/>
      <c r="O179" s="43"/>
      <c r="P179" s="43"/>
    </row>
    <row r="180" spans="1:16" ht="38.25" x14ac:dyDescent="0.2">
      <c r="A180" s="57" t="s">
        <v>362</v>
      </c>
      <c r="B180" s="58"/>
      <c r="C180" s="58"/>
      <c r="D180" s="59">
        <v>1</v>
      </c>
      <c r="E180" s="77" t="s">
        <v>349</v>
      </c>
      <c r="F180" s="43"/>
      <c r="G180" s="43"/>
      <c r="H180" s="43"/>
      <c r="I180" s="43"/>
      <c r="J180" s="43"/>
      <c r="K180" s="43"/>
      <c r="L180" s="43"/>
      <c r="M180" s="43"/>
      <c r="N180" s="43"/>
      <c r="O180" s="43"/>
      <c r="P180" s="43"/>
    </row>
    <row r="181" spans="1:16" ht="38.25" x14ac:dyDescent="0.2">
      <c r="A181" s="57" t="s">
        <v>350</v>
      </c>
      <c r="B181" s="58"/>
      <c r="C181" s="58"/>
      <c r="D181" s="59">
        <v>1</v>
      </c>
      <c r="E181" s="78" t="s">
        <v>351</v>
      </c>
      <c r="F181" s="43"/>
      <c r="G181" s="43"/>
      <c r="H181" s="43"/>
      <c r="I181" s="43"/>
      <c r="J181" s="43"/>
      <c r="K181" s="43"/>
      <c r="L181" s="43"/>
      <c r="M181" s="43"/>
      <c r="N181" s="43"/>
      <c r="O181" s="43"/>
      <c r="P181" s="43"/>
    </row>
    <row r="182" spans="1:16" ht="38.25" x14ac:dyDescent="0.2">
      <c r="A182" s="57" t="s">
        <v>352</v>
      </c>
      <c r="B182" s="58"/>
      <c r="C182" s="47"/>
      <c r="D182" s="83">
        <v>1</v>
      </c>
      <c r="E182" s="84" t="s">
        <v>353</v>
      </c>
      <c r="F182" s="85"/>
      <c r="G182" s="43"/>
      <c r="H182" s="43"/>
      <c r="I182" s="43"/>
      <c r="J182" s="43"/>
      <c r="K182" s="43"/>
      <c r="L182" s="43"/>
      <c r="M182" s="43"/>
      <c r="N182" s="43"/>
      <c r="O182" s="43"/>
      <c r="P182" s="43"/>
    </row>
    <row r="183" spans="1:16" x14ac:dyDescent="0.2">
      <c r="A183" s="49" t="s">
        <v>354</v>
      </c>
      <c r="B183" s="47"/>
      <c r="C183" s="47"/>
      <c r="D183" s="48">
        <v>40</v>
      </c>
      <c r="E183" s="79" t="s">
        <v>355</v>
      </c>
      <c r="F183" s="85"/>
      <c r="G183" s="43"/>
      <c r="H183" s="43"/>
      <c r="I183" s="43"/>
      <c r="J183" s="43"/>
      <c r="K183" s="43"/>
      <c r="L183" s="43"/>
      <c r="M183" s="43"/>
      <c r="N183" s="43"/>
      <c r="O183" s="43"/>
      <c r="P183" s="43"/>
    </row>
    <row r="184" spans="1:16" ht="25.5" x14ac:dyDescent="0.2">
      <c r="A184" s="49" t="s">
        <v>356</v>
      </c>
      <c r="B184" s="47"/>
      <c r="C184" s="47"/>
      <c r="D184" s="48">
        <v>6</v>
      </c>
      <c r="E184" s="79" t="s">
        <v>357</v>
      </c>
      <c r="F184" s="85"/>
      <c r="G184" s="43"/>
      <c r="H184" s="43"/>
      <c r="I184" s="43"/>
      <c r="J184" s="43"/>
      <c r="K184" s="43"/>
      <c r="L184" s="43"/>
      <c r="M184" s="43"/>
      <c r="N184" s="43"/>
      <c r="O184" s="43"/>
      <c r="P184" s="43"/>
    </row>
    <row r="185" spans="1:16" x14ac:dyDescent="0.2">
      <c r="A185" s="49" t="s">
        <v>358</v>
      </c>
      <c r="B185" s="47"/>
      <c r="C185" s="47"/>
      <c r="D185" s="48">
        <v>5</v>
      </c>
      <c r="E185" s="79" t="s">
        <v>359</v>
      </c>
      <c r="F185" s="85"/>
      <c r="G185" s="43"/>
      <c r="H185" s="43"/>
      <c r="I185" s="43"/>
      <c r="J185" s="43"/>
      <c r="K185" s="43"/>
      <c r="L185" s="43"/>
      <c r="M185" s="43"/>
      <c r="N185" s="43"/>
      <c r="O185" s="43"/>
      <c r="P185" s="43"/>
    </row>
    <row r="186" spans="1:16" x14ac:dyDescent="0.2">
      <c r="A186" s="80" t="s">
        <v>360</v>
      </c>
      <c r="B186" s="81"/>
      <c r="C186" s="81"/>
      <c r="D186" s="82">
        <v>5</v>
      </c>
      <c r="E186" s="86" t="s">
        <v>361</v>
      </c>
      <c r="F186" s="85"/>
      <c r="G186" s="43"/>
      <c r="H186" s="43"/>
      <c r="I186" s="43"/>
      <c r="J186" s="43"/>
      <c r="K186" s="43"/>
      <c r="L186" s="43"/>
      <c r="M186" s="43"/>
      <c r="N186" s="43"/>
      <c r="O186" s="43"/>
      <c r="P186" s="43"/>
    </row>
    <row r="187" spans="1:16" ht="38.25" x14ac:dyDescent="0.2">
      <c r="A187" s="87" t="s">
        <v>366</v>
      </c>
      <c r="B187" s="88"/>
      <c r="C187" s="89"/>
      <c r="D187" s="92">
        <v>6</v>
      </c>
      <c r="E187" s="90" t="s">
        <v>331</v>
      </c>
      <c r="F187" s="85"/>
      <c r="G187" s="43"/>
      <c r="H187" s="43"/>
      <c r="I187" s="43"/>
      <c r="J187" s="43"/>
      <c r="K187" s="43"/>
      <c r="L187" s="43"/>
      <c r="M187" s="43"/>
      <c r="N187" s="43"/>
      <c r="O187" s="43"/>
      <c r="P187" s="43"/>
    </row>
    <row r="188" spans="1:16" x14ac:dyDescent="0.2">
      <c r="A188" s="87" t="s">
        <v>367</v>
      </c>
      <c r="B188" s="88"/>
      <c r="C188" s="89"/>
      <c r="D188" s="92">
        <v>2</v>
      </c>
      <c r="E188" s="90" t="s">
        <v>368</v>
      </c>
      <c r="F188" s="85"/>
      <c r="G188" s="43"/>
      <c r="H188" s="43"/>
      <c r="I188" s="43"/>
      <c r="J188" s="43"/>
      <c r="K188" s="43"/>
      <c r="L188" s="43"/>
      <c r="M188" s="43"/>
      <c r="N188" s="43"/>
      <c r="O188" s="43"/>
      <c r="P188" s="43"/>
    </row>
    <row r="189" spans="1:16" x14ac:dyDescent="0.2">
      <c r="A189" s="87" t="s">
        <v>369</v>
      </c>
      <c r="B189" s="88"/>
      <c r="C189" s="88"/>
      <c r="D189" s="93">
        <v>2</v>
      </c>
      <c r="E189" s="91" t="s">
        <v>370</v>
      </c>
    </row>
  </sheetData>
  <sheetProtection selectLockedCells="1" selectUnlockedCells="1"/>
  <phoneticPr fontId="2" type="noConversion"/>
  <conditionalFormatting sqref="E176">
    <cfRule type="expression" dxfId="0" priority="7" stopIfTrue="1">
      <formula>MOD(ROW(),2)</formula>
    </cfRule>
  </conditionalFormatting>
  <pageMargins left="0.75" right="0.75" top="1" bottom="1" header="0.5" footer="0.5"/>
  <pageSetup scale="6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4"/>
  <sheetViews>
    <sheetView topLeftCell="A88" workbookViewId="0">
      <selection activeCell="C24" sqref="C24"/>
    </sheetView>
  </sheetViews>
  <sheetFormatPr defaultColWidth="51.7109375" defaultRowHeight="12.75" x14ac:dyDescent="0.2"/>
  <cols>
    <col min="1" max="1" width="7.140625" style="95" bestFit="1" customWidth="1"/>
    <col min="2" max="2" width="45" style="95" bestFit="1" customWidth="1"/>
    <col min="3" max="16384" width="51.7109375" style="96"/>
  </cols>
  <sheetData>
    <row r="1" spans="1:2" x14ac:dyDescent="0.2">
      <c r="A1" s="106" t="s">
        <v>698</v>
      </c>
      <c r="B1" s="107"/>
    </row>
    <row r="2" spans="1:2" x14ac:dyDescent="0.2">
      <c r="A2" s="98" t="s">
        <v>697</v>
      </c>
      <c r="B2" s="94" t="s">
        <v>696</v>
      </c>
    </row>
    <row r="3" spans="1:2" x14ac:dyDescent="0.2">
      <c r="A3" s="98" t="s">
        <v>695</v>
      </c>
      <c r="B3" s="94" t="s">
        <v>694</v>
      </c>
    </row>
    <row r="4" spans="1:2" x14ac:dyDescent="0.2">
      <c r="A4" s="98" t="s">
        <v>693</v>
      </c>
      <c r="B4" s="94" t="s">
        <v>692</v>
      </c>
    </row>
    <row r="5" spans="1:2" x14ac:dyDescent="0.2">
      <c r="A5" s="98" t="s">
        <v>691</v>
      </c>
      <c r="B5" s="94" t="s">
        <v>690</v>
      </c>
    </row>
    <row r="6" spans="1:2" x14ac:dyDescent="0.2">
      <c r="A6" s="98" t="s">
        <v>689</v>
      </c>
      <c r="B6" s="94" t="s">
        <v>688</v>
      </c>
    </row>
    <row r="7" spans="1:2" x14ac:dyDescent="0.2">
      <c r="A7" s="98" t="s">
        <v>687</v>
      </c>
      <c r="B7" s="94" t="s">
        <v>686</v>
      </c>
    </row>
    <row r="8" spans="1:2" x14ac:dyDescent="0.2">
      <c r="A8" s="98" t="s">
        <v>685</v>
      </c>
      <c r="B8" s="94" t="s">
        <v>684</v>
      </c>
    </row>
    <row r="9" spans="1:2" x14ac:dyDescent="0.2">
      <c r="A9" s="98" t="s">
        <v>683</v>
      </c>
      <c r="B9" s="94" t="s">
        <v>682</v>
      </c>
    </row>
    <row r="10" spans="1:2" x14ac:dyDescent="0.2">
      <c r="A10" s="100" t="s">
        <v>681</v>
      </c>
      <c r="B10" s="99" t="s">
        <v>680</v>
      </c>
    </row>
    <row r="11" spans="1:2" x14ac:dyDescent="0.2">
      <c r="A11" s="98" t="s">
        <v>679</v>
      </c>
      <c r="B11" s="94" t="s">
        <v>678</v>
      </c>
    </row>
    <row r="12" spans="1:2" x14ac:dyDescent="0.2">
      <c r="A12" s="98" t="s">
        <v>677</v>
      </c>
      <c r="B12" s="94" t="s">
        <v>676</v>
      </c>
    </row>
    <row r="13" spans="1:2" x14ac:dyDescent="0.2">
      <c r="A13" s="100" t="s">
        <v>675</v>
      </c>
      <c r="B13" s="99" t="s">
        <v>674</v>
      </c>
    </row>
    <row r="14" spans="1:2" x14ac:dyDescent="0.2">
      <c r="A14" s="98" t="s">
        <v>673</v>
      </c>
      <c r="B14" s="94" t="s">
        <v>672</v>
      </c>
    </row>
    <row r="15" spans="1:2" x14ac:dyDescent="0.2">
      <c r="A15" s="98" t="s">
        <v>671</v>
      </c>
      <c r="B15" s="94" t="s">
        <v>670</v>
      </c>
    </row>
    <row r="16" spans="1:2" x14ac:dyDescent="0.2">
      <c r="A16" s="98" t="s">
        <v>669</v>
      </c>
      <c r="B16" s="94" t="s">
        <v>668</v>
      </c>
    </row>
    <row r="17" spans="1:2" x14ac:dyDescent="0.2">
      <c r="A17" s="98" t="s">
        <v>667</v>
      </c>
      <c r="B17" s="94" t="s">
        <v>666</v>
      </c>
    </row>
    <row r="18" spans="1:2" x14ac:dyDescent="0.2">
      <c r="A18" s="98" t="s">
        <v>665</v>
      </c>
      <c r="B18" s="94" t="s">
        <v>664</v>
      </c>
    </row>
    <row r="19" spans="1:2" x14ac:dyDescent="0.2">
      <c r="A19" s="98" t="s">
        <v>663</v>
      </c>
      <c r="B19" s="94" t="s">
        <v>662</v>
      </c>
    </row>
    <row r="20" spans="1:2" x14ac:dyDescent="0.2">
      <c r="A20" s="98" t="s">
        <v>661</v>
      </c>
      <c r="B20" s="94" t="s">
        <v>660</v>
      </c>
    </row>
    <row r="21" spans="1:2" x14ac:dyDescent="0.2">
      <c r="A21" s="98" t="s">
        <v>659</v>
      </c>
      <c r="B21" s="94" t="s">
        <v>658</v>
      </c>
    </row>
    <row r="22" spans="1:2" x14ac:dyDescent="0.2">
      <c r="A22" s="98" t="s">
        <v>657</v>
      </c>
      <c r="B22" s="94" t="s">
        <v>656</v>
      </c>
    </row>
    <row r="23" spans="1:2" x14ac:dyDescent="0.2">
      <c r="A23" s="98" t="s">
        <v>655</v>
      </c>
      <c r="B23" s="94" t="s">
        <v>654</v>
      </c>
    </row>
    <row r="24" spans="1:2" x14ac:dyDescent="0.2">
      <c r="A24" s="98" t="s">
        <v>653</v>
      </c>
      <c r="B24" s="94" t="s">
        <v>652</v>
      </c>
    </row>
    <row r="25" spans="1:2" x14ac:dyDescent="0.2">
      <c r="A25" s="100" t="s">
        <v>651</v>
      </c>
      <c r="B25" s="99" t="s">
        <v>650</v>
      </c>
    </row>
    <row r="26" spans="1:2" x14ac:dyDescent="0.2">
      <c r="A26" s="98" t="s">
        <v>649</v>
      </c>
      <c r="B26" s="94" t="s">
        <v>648</v>
      </c>
    </row>
    <row r="27" spans="1:2" x14ac:dyDescent="0.2">
      <c r="A27" s="98" t="s">
        <v>647</v>
      </c>
      <c r="B27" s="94" t="s">
        <v>646</v>
      </c>
    </row>
    <row r="28" spans="1:2" x14ac:dyDescent="0.2">
      <c r="A28" s="98" t="s">
        <v>645</v>
      </c>
      <c r="B28" s="94" t="s">
        <v>644</v>
      </c>
    </row>
    <row r="29" spans="1:2" x14ac:dyDescent="0.2">
      <c r="A29" s="98" t="s">
        <v>643</v>
      </c>
      <c r="B29" s="94" t="s">
        <v>642</v>
      </c>
    </row>
    <row r="30" spans="1:2" x14ac:dyDescent="0.2">
      <c r="A30" s="98" t="s">
        <v>641</v>
      </c>
      <c r="B30" s="94" t="s">
        <v>640</v>
      </c>
    </row>
    <row r="31" spans="1:2" x14ac:dyDescent="0.2">
      <c r="A31" s="98" t="s">
        <v>639</v>
      </c>
      <c r="B31" s="94" t="s">
        <v>638</v>
      </c>
    </row>
    <row r="32" spans="1:2" x14ac:dyDescent="0.2">
      <c r="A32" s="98" t="s">
        <v>637</v>
      </c>
      <c r="B32" s="94" t="s">
        <v>636</v>
      </c>
    </row>
    <row r="33" spans="1:2" x14ac:dyDescent="0.2">
      <c r="A33" s="98" t="s">
        <v>635</v>
      </c>
      <c r="B33" s="94" t="s">
        <v>634</v>
      </c>
    </row>
    <row r="34" spans="1:2" x14ac:dyDescent="0.2">
      <c r="A34" s="98" t="s">
        <v>633</v>
      </c>
      <c r="B34" s="94" t="s">
        <v>632</v>
      </c>
    </row>
    <row r="35" spans="1:2" x14ac:dyDescent="0.2">
      <c r="A35" s="98" t="s">
        <v>631</v>
      </c>
      <c r="B35" s="94" t="s">
        <v>630</v>
      </c>
    </row>
    <row r="36" spans="1:2" x14ac:dyDescent="0.2">
      <c r="A36" s="98" t="s">
        <v>629</v>
      </c>
      <c r="B36" s="94" t="s">
        <v>628</v>
      </c>
    </row>
    <row r="37" spans="1:2" x14ac:dyDescent="0.2">
      <c r="A37" s="98" t="s">
        <v>627</v>
      </c>
      <c r="B37" s="94" t="s">
        <v>626</v>
      </c>
    </row>
    <row r="38" spans="1:2" x14ac:dyDescent="0.2">
      <c r="A38" s="98" t="s">
        <v>625</v>
      </c>
      <c r="B38" s="94" t="s">
        <v>624</v>
      </c>
    </row>
    <row r="39" spans="1:2" x14ac:dyDescent="0.2">
      <c r="A39" s="98" t="s">
        <v>623</v>
      </c>
      <c r="B39" s="94" t="s">
        <v>622</v>
      </c>
    </row>
    <row r="40" spans="1:2" x14ac:dyDescent="0.2">
      <c r="A40" s="98" t="s">
        <v>621</v>
      </c>
      <c r="B40" s="94" t="s">
        <v>620</v>
      </c>
    </row>
    <row r="41" spans="1:2" x14ac:dyDescent="0.2">
      <c r="A41" s="98" t="s">
        <v>619</v>
      </c>
      <c r="B41" s="94" t="s">
        <v>618</v>
      </c>
    </row>
    <row r="42" spans="1:2" x14ac:dyDescent="0.2">
      <c r="A42" s="98" t="s">
        <v>617</v>
      </c>
      <c r="B42" s="94" t="s">
        <v>616</v>
      </c>
    </row>
    <row r="43" spans="1:2" x14ac:dyDescent="0.2">
      <c r="A43" s="98" t="s">
        <v>615</v>
      </c>
      <c r="B43" s="94" t="s">
        <v>614</v>
      </c>
    </row>
    <row r="44" spans="1:2" x14ac:dyDescent="0.2">
      <c r="A44" s="98" t="s">
        <v>613</v>
      </c>
      <c r="B44" s="94" t="s">
        <v>612</v>
      </c>
    </row>
    <row r="45" spans="1:2" x14ac:dyDescent="0.2">
      <c r="A45" s="98" t="s">
        <v>611</v>
      </c>
      <c r="B45" s="94" t="s">
        <v>610</v>
      </c>
    </row>
    <row r="46" spans="1:2" x14ac:dyDescent="0.2">
      <c r="A46" s="98" t="s">
        <v>609</v>
      </c>
      <c r="B46" s="94" t="s">
        <v>608</v>
      </c>
    </row>
    <row r="47" spans="1:2" x14ac:dyDescent="0.2">
      <c r="A47" s="98" t="s">
        <v>607</v>
      </c>
      <c r="B47" s="94" t="s">
        <v>606</v>
      </c>
    </row>
    <row r="48" spans="1:2" x14ac:dyDescent="0.2">
      <c r="A48" s="98" t="s">
        <v>605</v>
      </c>
      <c r="B48" s="94" t="s">
        <v>604</v>
      </c>
    </row>
    <row r="49" spans="1:2" x14ac:dyDescent="0.2">
      <c r="A49" s="98" t="s">
        <v>603</v>
      </c>
      <c r="B49" s="94" t="s">
        <v>602</v>
      </c>
    </row>
    <row r="50" spans="1:2" x14ac:dyDescent="0.2">
      <c r="A50" s="98" t="s">
        <v>601</v>
      </c>
      <c r="B50" s="94" t="s">
        <v>600</v>
      </c>
    </row>
    <row r="51" spans="1:2" x14ac:dyDescent="0.2">
      <c r="A51" s="100" t="s">
        <v>599</v>
      </c>
      <c r="B51" s="99" t="s">
        <v>598</v>
      </c>
    </row>
    <row r="52" spans="1:2" x14ac:dyDescent="0.2">
      <c r="A52" s="98" t="s">
        <v>597</v>
      </c>
      <c r="B52" s="94" t="s">
        <v>596</v>
      </c>
    </row>
    <row r="53" spans="1:2" x14ac:dyDescent="0.2">
      <c r="A53" s="98" t="s">
        <v>595</v>
      </c>
      <c r="B53" s="94" t="s">
        <v>594</v>
      </c>
    </row>
    <row r="54" spans="1:2" x14ac:dyDescent="0.2">
      <c r="A54" s="98" t="s">
        <v>593</v>
      </c>
      <c r="B54" s="94" t="s">
        <v>592</v>
      </c>
    </row>
    <row r="55" spans="1:2" x14ac:dyDescent="0.2">
      <c r="A55" s="98" t="s">
        <v>591</v>
      </c>
      <c r="B55" s="94" t="s">
        <v>590</v>
      </c>
    </row>
    <row r="56" spans="1:2" x14ac:dyDescent="0.2">
      <c r="A56" s="98" t="s">
        <v>589</v>
      </c>
      <c r="B56" s="94" t="s">
        <v>588</v>
      </c>
    </row>
    <row r="57" spans="1:2" x14ac:dyDescent="0.2">
      <c r="A57" s="98" t="s">
        <v>587</v>
      </c>
      <c r="B57" s="94" t="s">
        <v>586</v>
      </c>
    </row>
    <row r="58" spans="1:2" x14ac:dyDescent="0.2">
      <c r="A58" s="98" t="s">
        <v>585</v>
      </c>
      <c r="B58" s="94" t="s">
        <v>584</v>
      </c>
    </row>
    <row r="59" spans="1:2" x14ac:dyDescent="0.2">
      <c r="A59" s="98" t="s">
        <v>583</v>
      </c>
      <c r="B59" s="94" t="s">
        <v>582</v>
      </c>
    </row>
    <row r="60" spans="1:2" x14ac:dyDescent="0.2">
      <c r="A60" s="98" t="s">
        <v>581</v>
      </c>
      <c r="B60" s="94" t="s">
        <v>580</v>
      </c>
    </row>
    <row r="61" spans="1:2" x14ac:dyDescent="0.2">
      <c r="A61" s="98" t="s">
        <v>579</v>
      </c>
      <c r="B61" s="94" t="s">
        <v>578</v>
      </c>
    </row>
    <row r="62" spans="1:2" x14ac:dyDescent="0.2">
      <c r="A62" s="98" t="s">
        <v>577</v>
      </c>
      <c r="B62" s="94" t="s">
        <v>576</v>
      </c>
    </row>
    <row r="63" spans="1:2" x14ac:dyDescent="0.2">
      <c r="A63" s="98" t="s">
        <v>575</v>
      </c>
      <c r="B63" s="94" t="s">
        <v>574</v>
      </c>
    </row>
    <row r="64" spans="1:2" x14ac:dyDescent="0.2">
      <c r="A64" s="98" t="s">
        <v>573</v>
      </c>
      <c r="B64" s="94" t="s">
        <v>572</v>
      </c>
    </row>
    <row r="65" spans="1:2" x14ac:dyDescent="0.2">
      <c r="A65" s="98" t="s">
        <v>571</v>
      </c>
      <c r="B65" s="94" t="s">
        <v>570</v>
      </c>
    </row>
    <row r="66" spans="1:2" x14ac:dyDescent="0.2">
      <c r="A66" s="98" t="s">
        <v>569</v>
      </c>
      <c r="B66" s="94" t="s">
        <v>568</v>
      </c>
    </row>
    <row r="67" spans="1:2" x14ac:dyDescent="0.2">
      <c r="A67" s="98" t="s">
        <v>567</v>
      </c>
      <c r="B67" s="94" t="s">
        <v>566</v>
      </c>
    </row>
    <row r="68" spans="1:2" x14ac:dyDescent="0.2">
      <c r="A68" s="98" t="s">
        <v>565</v>
      </c>
      <c r="B68" s="94" t="s">
        <v>564</v>
      </c>
    </row>
    <row r="69" spans="1:2" x14ac:dyDescent="0.2">
      <c r="A69" s="98" t="s">
        <v>563</v>
      </c>
      <c r="B69" s="94" t="s">
        <v>562</v>
      </c>
    </row>
    <row r="70" spans="1:2" x14ac:dyDescent="0.2">
      <c r="A70" s="98" t="s">
        <v>561</v>
      </c>
      <c r="B70" s="94" t="s">
        <v>560</v>
      </c>
    </row>
    <row r="71" spans="1:2" x14ac:dyDescent="0.2">
      <c r="A71" s="98" t="s">
        <v>559</v>
      </c>
      <c r="B71" s="94" t="s">
        <v>558</v>
      </c>
    </row>
    <row r="72" spans="1:2" x14ac:dyDescent="0.2">
      <c r="A72" s="98" t="s">
        <v>557</v>
      </c>
      <c r="B72" s="94" t="s">
        <v>556</v>
      </c>
    </row>
    <row r="73" spans="1:2" x14ac:dyDescent="0.2">
      <c r="A73" s="98" t="s">
        <v>555</v>
      </c>
      <c r="B73" s="94" t="s">
        <v>554</v>
      </c>
    </row>
    <row r="74" spans="1:2" x14ac:dyDescent="0.2">
      <c r="A74" s="98" t="s">
        <v>553</v>
      </c>
      <c r="B74" s="94" t="s">
        <v>552</v>
      </c>
    </row>
    <row r="75" spans="1:2" x14ac:dyDescent="0.2">
      <c r="A75" s="98" t="s">
        <v>551</v>
      </c>
      <c r="B75" s="94" t="s">
        <v>550</v>
      </c>
    </row>
    <row r="76" spans="1:2" x14ac:dyDescent="0.2">
      <c r="A76" s="98" t="s">
        <v>549</v>
      </c>
      <c r="B76" s="94" t="s">
        <v>548</v>
      </c>
    </row>
    <row r="77" spans="1:2" x14ac:dyDescent="0.2">
      <c r="A77" s="98" t="s">
        <v>547</v>
      </c>
      <c r="B77" s="94" t="s">
        <v>546</v>
      </c>
    </row>
    <row r="78" spans="1:2" x14ac:dyDescent="0.2">
      <c r="A78" s="98" t="s">
        <v>545</v>
      </c>
      <c r="B78" s="94" t="s">
        <v>544</v>
      </c>
    </row>
    <row r="79" spans="1:2" x14ac:dyDescent="0.2">
      <c r="A79" s="100" t="s">
        <v>543</v>
      </c>
      <c r="B79" s="99" t="s">
        <v>542</v>
      </c>
    </row>
    <row r="80" spans="1:2" x14ac:dyDescent="0.2">
      <c r="A80" s="98" t="s">
        <v>541</v>
      </c>
      <c r="B80" s="94" t="s">
        <v>540</v>
      </c>
    </row>
    <row r="81" spans="1:2" x14ac:dyDescent="0.2">
      <c r="A81" s="98" t="s">
        <v>539</v>
      </c>
      <c r="B81" s="94" t="s">
        <v>538</v>
      </c>
    </row>
    <row r="82" spans="1:2" x14ac:dyDescent="0.2">
      <c r="A82" s="98" t="s">
        <v>537</v>
      </c>
      <c r="B82" s="94" t="s">
        <v>536</v>
      </c>
    </row>
    <row r="83" spans="1:2" x14ac:dyDescent="0.2">
      <c r="A83" s="98" t="s">
        <v>535</v>
      </c>
      <c r="B83" s="94" t="s">
        <v>534</v>
      </c>
    </row>
    <row r="84" spans="1:2" x14ac:dyDescent="0.2">
      <c r="A84" s="100" t="s">
        <v>533</v>
      </c>
      <c r="B84" s="99" t="s">
        <v>532</v>
      </c>
    </row>
    <row r="85" spans="1:2" x14ac:dyDescent="0.2">
      <c r="A85" s="98" t="s">
        <v>531</v>
      </c>
      <c r="B85" s="94" t="s">
        <v>530</v>
      </c>
    </row>
    <row r="86" spans="1:2" x14ac:dyDescent="0.2">
      <c r="A86" s="98" t="s">
        <v>529</v>
      </c>
      <c r="B86" s="94" t="s">
        <v>528</v>
      </c>
    </row>
    <row r="87" spans="1:2" x14ac:dyDescent="0.2">
      <c r="A87" s="98" t="s">
        <v>527</v>
      </c>
      <c r="B87" s="94" t="s">
        <v>526</v>
      </c>
    </row>
    <row r="88" spans="1:2" x14ac:dyDescent="0.2">
      <c r="A88" s="98" t="s">
        <v>525</v>
      </c>
      <c r="B88" s="94" t="s">
        <v>524</v>
      </c>
    </row>
    <row r="89" spans="1:2" x14ac:dyDescent="0.2">
      <c r="A89" s="98" t="s">
        <v>523</v>
      </c>
      <c r="B89" s="94" t="s">
        <v>522</v>
      </c>
    </row>
    <row r="90" spans="1:2" x14ac:dyDescent="0.2">
      <c r="A90" s="98" t="s">
        <v>521</v>
      </c>
      <c r="B90" s="94" t="s">
        <v>520</v>
      </c>
    </row>
    <row r="91" spans="1:2" x14ac:dyDescent="0.2">
      <c r="A91" s="98" t="s">
        <v>519</v>
      </c>
      <c r="B91" s="94" t="s">
        <v>518</v>
      </c>
    </row>
    <row r="92" spans="1:2" x14ac:dyDescent="0.2">
      <c r="A92" s="98" t="s">
        <v>517</v>
      </c>
      <c r="B92" s="94" t="s">
        <v>516</v>
      </c>
    </row>
    <row r="93" spans="1:2" x14ac:dyDescent="0.2">
      <c r="A93" s="98" t="s">
        <v>515</v>
      </c>
      <c r="B93" s="94" t="s">
        <v>514</v>
      </c>
    </row>
    <row r="94" spans="1:2" x14ac:dyDescent="0.2">
      <c r="A94" s="98" t="s">
        <v>513</v>
      </c>
      <c r="B94" s="94" t="s">
        <v>512</v>
      </c>
    </row>
    <row r="95" spans="1:2" x14ac:dyDescent="0.2">
      <c r="A95" s="100" t="s">
        <v>511</v>
      </c>
      <c r="B95" s="99" t="s">
        <v>510</v>
      </c>
    </row>
    <row r="96" spans="1:2" x14ac:dyDescent="0.2">
      <c r="A96" s="100" t="s">
        <v>509</v>
      </c>
      <c r="B96" s="99" t="s">
        <v>508</v>
      </c>
    </row>
    <row r="97" spans="1:2" x14ac:dyDescent="0.2">
      <c r="A97" s="98" t="s">
        <v>507</v>
      </c>
      <c r="B97" s="94" t="s">
        <v>506</v>
      </c>
    </row>
    <row r="98" spans="1:2" x14ac:dyDescent="0.2">
      <c r="A98" s="98" t="s">
        <v>505</v>
      </c>
      <c r="B98" s="94" t="s">
        <v>504</v>
      </c>
    </row>
    <row r="99" spans="1:2" x14ac:dyDescent="0.2">
      <c r="A99" s="98" t="s">
        <v>503</v>
      </c>
      <c r="B99" s="94" t="s">
        <v>502</v>
      </c>
    </row>
    <row r="100" spans="1:2" x14ac:dyDescent="0.2">
      <c r="A100" s="98" t="s">
        <v>501</v>
      </c>
      <c r="B100" s="94" t="s">
        <v>500</v>
      </c>
    </row>
    <row r="101" spans="1:2" x14ac:dyDescent="0.2">
      <c r="A101" s="98" t="s">
        <v>499</v>
      </c>
      <c r="B101" s="94" t="s">
        <v>498</v>
      </c>
    </row>
    <row r="102" spans="1:2" x14ac:dyDescent="0.2">
      <c r="A102" s="98" t="s">
        <v>497</v>
      </c>
      <c r="B102" s="94" t="s">
        <v>496</v>
      </c>
    </row>
    <row r="103" spans="1:2" x14ac:dyDescent="0.2">
      <c r="A103" s="98" t="s">
        <v>495</v>
      </c>
      <c r="B103" s="94" t="s">
        <v>494</v>
      </c>
    </row>
    <row r="104" spans="1:2" x14ac:dyDescent="0.2">
      <c r="A104" s="98" t="s">
        <v>493</v>
      </c>
      <c r="B104" s="94" t="s">
        <v>492</v>
      </c>
    </row>
    <row r="105" spans="1:2" x14ac:dyDescent="0.2">
      <c r="A105" s="98" t="s">
        <v>491</v>
      </c>
      <c r="B105" s="94" t="s">
        <v>490</v>
      </c>
    </row>
    <row r="106" spans="1:2" x14ac:dyDescent="0.2">
      <c r="A106" s="98" t="s">
        <v>489</v>
      </c>
      <c r="B106" s="94" t="s">
        <v>488</v>
      </c>
    </row>
    <row r="107" spans="1:2" x14ac:dyDescent="0.2">
      <c r="A107" s="100" t="s">
        <v>487</v>
      </c>
      <c r="B107" s="99" t="s">
        <v>486</v>
      </c>
    </row>
    <row r="108" spans="1:2" x14ac:dyDescent="0.2">
      <c r="A108" s="100" t="s">
        <v>485</v>
      </c>
      <c r="B108" s="99" t="s">
        <v>484</v>
      </c>
    </row>
    <row r="109" spans="1:2" x14ac:dyDescent="0.2">
      <c r="A109" s="98" t="s">
        <v>483</v>
      </c>
      <c r="B109" s="94" t="s">
        <v>482</v>
      </c>
    </row>
    <row r="110" spans="1:2" x14ac:dyDescent="0.2">
      <c r="A110" s="98" t="s">
        <v>481</v>
      </c>
      <c r="B110" s="94" t="s">
        <v>480</v>
      </c>
    </row>
    <row r="111" spans="1:2" x14ac:dyDescent="0.2">
      <c r="A111" s="98" t="s">
        <v>479</v>
      </c>
      <c r="B111" s="94" t="s">
        <v>478</v>
      </c>
    </row>
    <row r="112" spans="1:2" x14ac:dyDescent="0.2">
      <c r="A112" s="98" t="s">
        <v>477</v>
      </c>
      <c r="B112" s="94" t="s">
        <v>476</v>
      </c>
    </row>
    <row r="113" spans="1:2" x14ac:dyDescent="0.2">
      <c r="A113" s="98" t="s">
        <v>475</v>
      </c>
      <c r="B113" s="94" t="s">
        <v>474</v>
      </c>
    </row>
    <row r="114" spans="1:2" x14ac:dyDescent="0.2">
      <c r="A114" s="98" t="s">
        <v>473</v>
      </c>
      <c r="B114" s="94" t="s">
        <v>472</v>
      </c>
    </row>
    <row r="115" spans="1:2" x14ac:dyDescent="0.2">
      <c r="A115" s="98" t="s">
        <v>471</v>
      </c>
      <c r="B115" s="94" t="s">
        <v>470</v>
      </c>
    </row>
    <row r="116" spans="1:2" x14ac:dyDescent="0.2">
      <c r="A116" s="98" t="s">
        <v>469</v>
      </c>
      <c r="B116" s="94" t="s">
        <v>468</v>
      </c>
    </row>
    <row r="117" spans="1:2" x14ac:dyDescent="0.2">
      <c r="A117" s="100" t="s">
        <v>467</v>
      </c>
      <c r="B117" s="99" t="s">
        <v>466</v>
      </c>
    </row>
    <row r="118" spans="1:2" x14ac:dyDescent="0.2">
      <c r="A118" s="100" t="s">
        <v>465</v>
      </c>
      <c r="B118" s="99" t="s">
        <v>464</v>
      </c>
    </row>
    <row r="119" spans="1:2" x14ac:dyDescent="0.2">
      <c r="A119" s="100" t="s">
        <v>463</v>
      </c>
      <c r="B119" s="99" t="s">
        <v>462</v>
      </c>
    </row>
    <row r="120" spans="1:2" x14ac:dyDescent="0.2">
      <c r="A120" s="100" t="s">
        <v>461</v>
      </c>
      <c r="B120" s="99" t="s">
        <v>460</v>
      </c>
    </row>
    <row r="121" spans="1:2" x14ac:dyDescent="0.2">
      <c r="A121" s="98" t="s">
        <v>459</v>
      </c>
      <c r="B121" s="94" t="s">
        <v>458</v>
      </c>
    </row>
    <row r="122" spans="1:2" x14ac:dyDescent="0.2">
      <c r="A122" s="98" t="s">
        <v>457</v>
      </c>
      <c r="B122" s="94" t="s">
        <v>456</v>
      </c>
    </row>
    <row r="123" spans="1:2" x14ac:dyDescent="0.2">
      <c r="A123" s="98" t="s">
        <v>455</v>
      </c>
      <c r="B123" s="94" t="s">
        <v>454</v>
      </c>
    </row>
    <row r="124" spans="1:2" x14ac:dyDescent="0.2">
      <c r="A124" s="98" t="s">
        <v>453</v>
      </c>
      <c r="B124" s="94" t="s">
        <v>452</v>
      </c>
    </row>
    <row r="125" spans="1:2" x14ac:dyDescent="0.2">
      <c r="A125" s="98" t="s">
        <v>451</v>
      </c>
      <c r="B125" s="94" t="s">
        <v>450</v>
      </c>
    </row>
    <row r="126" spans="1:2" x14ac:dyDescent="0.2">
      <c r="A126" s="98" t="s">
        <v>449</v>
      </c>
      <c r="B126" s="94" t="s">
        <v>448</v>
      </c>
    </row>
    <row r="127" spans="1:2" x14ac:dyDescent="0.2">
      <c r="A127" s="98" t="s">
        <v>447</v>
      </c>
      <c r="B127" s="94" t="s">
        <v>446</v>
      </c>
    </row>
    <row r="128" spans="1:2" x14ac:dyDescent="0.2">
      <c r="A128" s="100" t="s">
        <v>445</v>
      </c>
      <c r="B128" s="99" t="s">
        <v>444</v>
      </c>
    </row>
    <row r="129" spans="1:2" x14ac:dyDescent="0.2">
      <c r="A129" s="98" t="s">
        <v>443</v>
      </c>
      <c r="B129" s="94" t="s">
        <v>442</v>
      </c>
    </row>
    <row r="130" spans="1:2" x14ac:dyDescent="0.2">
      <c r="A130" s="98" t="s">
        <v>441</v>
      </c>
      <c r="B130" s="94" t="s">
        <v>440</v>
      </c>
    </row>
    <row r="131" spans="1:2" x14ac:dyDescent="0.2">
      <c r="A131" s="98" t="s">
        <v>439</v>
      </c>
      <c r="B131" s="94" t="s">
        <v>438</v>
      </c>
    </row>
    <row r="132" spans="1:2" x14ac:dyDescent="0.2">
      <c r="A132" s="98" t="s">
        <v>437</v>
      </c>
      <c r="B132" s="94" t="s">
        <v>436</v>
      </c>
    </row>
    <row r="133" spans="1:2" x14ac:dyDescent="0.2">
      <c r="A133" s="98" t="s">
        <v>435</v>
      </c>
      <c r="B133" s="94" t="s">
        <v>434</v>
      </c>
    </row>
    <row r="134" spans="1:2" x14ac:dyDescent="0.2">
      <c r="A134" s="98" t="s">
        <v>433</v>
      </c>
      <c r="B134" s="94" t="s">
        <v>432</v>
      </c>
    </row>
    <row r="135" spans="1:2" x14ac:dyDescent="0.2">
      <c r="A135" s="98" t="s">
        <v>431</v>
      </c>
      <c r="B135" s="94" t="s">
        <v>430</v>
      </c>
    </row>
    <row r="136" spans="1:2" x14ac:dyDescent="0.2">
      <c r="A136" s="98" t="s">
        <v>429</v>
      </c>
      <c r="B136" s="94" t="s">
        <v>428</v>
      </c>
    </row>
    <row r="137" spans="1:2" x14ac:dyDescent="0.2">
      <c r="A137" s="98" t="s">
        <v>427</v>
      </c>
      <c r="B137" s="94" t="s">
        <v>426</v>
      </c>
    </row>
    <row r="138" spans="1:2" x14ac:dyDescent="0.2">
      <c r="A138" s="98" t="s">
        <v>425</v>
      </c>
      <c r="B138" s="94" t="s">
        <v>424</v>
      </c>
    </row>
    <row r="139" spans="1:2" x14ac:dyDescent="0.2">
      <c r="A139" s="98" t="s">
        <v>423</v>
      </c>
      <c r="B139" s="94" t="s">
        <v>422</v>
      </c>
    </row>
    <row r="140" spans="1:2" x14ac:dyDescent="0.2">
      <c r="A140" s="98" t="s">
        <v>421</v>
      </c>
      <c r="B140" s="94" t="s">
        <v>420</v>
      </c>
    </row>
    <row r="141" spans="1:2" x14ac:dyDescent="0.2">
      <c r="A141" s="98" t="s">
        <v>419</v>
      </c>
      <c r="B141" s="94" t="s">
        <v>418</v>
      </c>
    </row>
    <row r="142" spans="1:2" x14ac:dyDescent="0.2">
      <c r="A142" s="98" t="s">
        <v>417</v>
      </c>
      <c r="B142" s="94" t="s">
        <v>416</v>
      </c>
    </row>
    <row r="143" spans="1:2" x14ac:dyDescent="0.2">
      <c r="A143" s="98" t="s">
        <v>415</v>
      </c>
      <c r="B143" s="94" t="s">
        <v>414</v>
      </c>
    </row>
    <row r="144" spans="1:2" x14ac:dyDescent="0.2">
      <c r="A144" s="98" t="s">
        <v>413</v>
      </c>
      <c r="B144" s="94" t="s">
        <v>412</v>
      </c>
    </row>
    <row r="145" spans="1:2" x14ac:dyDescent="0.2">
      <c r="A145" s="98" t="s">
        <v>411</v>
      </c>
      <c r="B145" s="94" t="s">
        <v>410</v>
      </c>
    </row>
    <row r="146" spans="1:2" x14ac:dyDescent="0.2">
      <c r="A146" s="98" t="s">
        <v>409</v>
      </c>
      <c r="B146" s="94" t="s">
        <v>408</v>
      </c>
    </row>
    <row r="147" spans="1:2" x14ac:dyDescent="0.2">
      <c r="A147" s="98" t="s">
        <v>407</v>
      </c>
      <c r="B147" s="94" t="s">
        <v>406</v>
      </c>
    </row>
    <row r="148" spans="1:2" x14ac:dyDescent="0.2">
      <c r="A148" s="98" t="s">
        <v>405</v>
      </c>
      <c r="B148" s="94" t="s">
        <v>404</v>
      </c>
    </row>
    <row r="149" spans="1:2" x14ac:dyDescent="0.2">
      <c r="A149" s="98" t="s">
        <v>403</v>
      </c>
      <c r="B149" s="94" t="s">
        <v>402</v>
      </c>
    </row>
    <row r="150" spans="1:2" x14ac:dyDescent="0.2">
      <c r="A150" s="98" t="s">
        <v>401</v>
      </c>
      <c r="B150" s="94" t="s">
        <v>400</v>
      </c>
    </row>
    <row r="151" spans="1:2" x14ac:dyDescent="0.2">
      <c r="A151" s="98" t="s">
        <v>399</v>
      </c>
      <c r="B151" s="94" t="s">
        <v>398</v>
      </c>
    </row>
    <row r="152" spans="1:2" x14ac:dyDescent="0.2">
      <c r="A152" s="98" t="s">
        <v>397</v>
      </c>
      <c r="B152" s="94" t="s">
        <v>396</v>
      </c>
    </row>
    <row r="153" spans="1:2" x14ac:dyDescent="0.2">
      <c r="A153" s="98" t="s">
        <v>395</v>
      </c>
      <c r="B153" s="94" t="s">
        <v>394</v>
      </c>
    </row>
    <row r="154" spans="1:2" x14ac:dyDescent="0.2">
      <c r="A154" s="100" t="s">
        <v>393</v>
      </c>
      <c r="B154" s="99" t="s">
        <v>392</v>
      </c>
    </row>
    <row r="155" spans="1:2" x14ac:dyDescent="0.2">
      <c r="A155" s="98" t="s">
        <v>391</v>
      </c>
      <c r="B155" s="94" t="s">
        <v>390</v>
      </c>
    </row>
    <row r="156" spans="1:2" x14ac:dyDescent="0.2">
      <c r="A156" s="98" t="s">
        <v>389</v>
      </c>
      <c r="B156" s="94" t="s">
        <v>388</v>
      </c>
    </row>
    <row r="157" spans="1:2" x14ac:dyDescent="0.2">
      <c r="A157" s="98" t="s">
        <v>387</v>
      </c>
      <c r="B157" s="94" t="s">
        <v>386</v>
      </c>
    </row>
    <row r="158" spans="1:2" x14ac:dyDescent="0.2">
      <c r="A158" s="98" t="s">
        <v>385</v>
      </c>
      <c r="B158" s="94" t="s">
        <v>384</v>
      </c>
    </row>
    <row r="159" spans="1:2" x14ac:dyDescent="0.2">
      <c r="A159" s="98" t="s">
        <v>383</v>
      </c>
      <c r="B159" s="94" t="s">
        <v>382</v>
      </c>
    </row>
    <row r="160" spans="1:2" x14ac:dyDescent="0.2">
      <c r="A160" s="98" t="s">
        <v>381</v>
      </c>
      <c r="B160" s="94" t="s">
        <v>380</v>
      </c>
    </row>
    <row r="161" spans="1:2" x14ac:dyDescent="0.2">
      <c r="A161" s="98" t="s">
        <v>379</v>
      </c>
      <c r="B161" s="94" t="s">
        <v>378</v>
      </c>
    </row>
    <row r="162" spans="1:2" x14ac:dyDescent="0.2">
      <c r="A162" s="98" t="s">
        <v>377</v>
      </c>
      <c r="B162" s="94" t="s">
        <v>376</v>
      </c>
    </row>
    <row r="163" spans="1:2" x14ac:dyDescent="0.2">
      <c r="A163" s="98" t="s">
        <v>375</v>
      </c>
      <c r="B163" s="94" t="s">
        <v>374</v>
      </c>
    </row>
    <row r="164" spans="1:2" x14ac:dyDescent="0.2">
      <c r="A164" s="98" t="s">
        <v>373</v>
      </c>
      <c r="B164" s="94" t="s">
        <v>372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opLeftCell="A16" workbookViewId="0">
      <selection activeCell="A17" sqref="A17"/>
    </sheetView>
  </sheetViews>
  <sheetFormatPr defaultColWidth="42.85546875" defaultRowHeight="12.75" x14ac:dyDescent="0.2"/>
  <cols>
    <col min="1" max="1" width="7.140625" style="101" bestFit="1" customWidth="1"/>
    <col min="2" max="2" width="21.140625" style="101" bestFit="1" customWidth="1"/>
    <col min="3" max="16384" width="42.85546875" style="101"/>
  </cols>
  <sheetData>
    <row r="1" spans="1:2" x14ac:dyDescent="0.2">
      <c r="A1" s="108" t="s">
        <v>781</v>
      </c>
      <c r="B1" s="109"/>
    </row>
    <row r="2" spans="1:2" x14ac:dyDescent="0.2">
      <c r="A2" s="103" t="s">
        <v>691</v>
      </c>
      <c r="B2" s="102" t="s">
        <v>780</v>
      </c>
    </row>
    <row r="3" spans="1:2" x14ac:dyDescent="0.2">
      <c r="A3" s="103" t="s">
        <v>687</v>
      </c>
      <c r="B3" s="102" t="s">
        <v>779</v>
      </c>
    </row>
    <row r="4" spans="1:2" x14ac:dyDescent="0.2">
      <c r="A4" s="103" t="s">
        <v>778</v>
      </c>
      <c r="B4" s="102" t="s">
        <v>777</v>
      </c>
    </row>
    <row r="5" spans="1:2" x14ac:dyDescent="0.2">
      <c r="A5" s="103" t="s">
        <v>679</v>
      </c>
      <c r="B5" s="102" t="s">
        <v>776</v>
      </c>
    </row>
    <row r="6" spans="1:2" x14ac:dyDescent="0.2">
      <c r="A6" s="103" t="s">
        <v>677</v>
      </c>
      <c r="B6" s="102" t="s">
        <v>775</v>
      </c>
    </row>
    <row r="7" spans="1:2" x14ac:dyDescent="0.2">
      <c r="A7" s="103" t="s">
        <v>665</v>
      </c>
      <c r="B7" s="102" t="s">
        <v>664</v>
      </c>
    </row>
    <row r="8" spans="1:2" x14ac:dyDescent="0.2">
      <c r="A8" s="103" t="s">
        <v>774</v>
      </c>
      <c r="B8" s="102" t="s">
        <v>773</v>
      </c>
    </row>
    <row r="9" spans="1:2" x14ac:dyDescent="0.2">
      <c r="A9" s="103" t="s">
        <v>772</v>
      </c>
      <c r="B9" s="102" t="s">
        <v>420</v>
      </c>
    </row>
    <row r="10" spans="1:2" x14ac:dyDescent="0.2">
      <c r="A10" s="103" t="s">
        <v>771</v>
      </c>
      <c r="B10" s="102" t="s">
        <v>770</v>
      </c>
    </row>
    <row r="11" spans="1:2" x14ac:dyDescent="0.2">
      <c r="A11" s="103" t="s">
        <v>633</v>
      </c>
      <c r="B11" s="102" t="s">
        <v>630</v>
      </c>
    </row>
    <row r="12" spans="1:2" x14ac:dyDescent="0.2">
      <c r="A12" s="103" t="s">
        <v>769</v>
      </c>
      <c r="B12" s="102" t="s">
        <v>624</v>
      </c>
    </row>
    <row r="13" spans="1:2" x14ac:dyDescent="0.2">
      <c r="A13" s="103" t="s">
        <v>629</v>
      </c>
      <c r="B13" s="102" t="s">
        <v>628</v>
      </c>
    </row>
    <row r="14" spans="1:2" x14ac:dyDescent="0.2">
      <c r="A14" s="103" t="s">
        <v>623</v>
      </c>
      <c r="B14" s="102" t="s">
        <v>768</v>
      </c>
    </row>
    <row r="15" spans="1:2" x14ac:dyDescent="0.2">
      <c r="A15" s="103" t="s">
        <v>767</v>
      </c>
      <c r="B15" s="102" t="s">
        <v>594</v>
      </c>
    </row>
    <row r="16" spans="1:2" x14ac:dyDescent="0.2">
      <c r="A16" s="103" t="s">
        <v>766</v>
      </c>
      <c r="B16" s="102" t="s">
        <v>620</v>
      </c>
    </row>
    <row r="17" spans="1:2" x14ac:dyDescent="0.2">
      <c r="A17" s="103" t="s">
        <v>765</v>
      </c>
      <c r="B17" s="102" t="s">
        <v>764</v>
      </c>
    </row>
    <row r="18" spans="1:2" x14ac:dyDescent="0.2">
      <c r="A18" s="103" t="s">
        <v>615</v>
      </c>
      <c r="B18" s="102" t="s">
        <v>618</v>
      </c>
    </row>
    <row r="19" spans="1:2" x14ac:dyDescent="0.2">
      <c r="A19" s="103" t="s">
        <v>763</v>
      </c>
      <c r="B19" s="102" t="s">
        <v>676</v>
      </c>
    </row>
    <row r="20" spans="1:2" x14ac:dyDescent="0.2">
      <c r="A20" s="103" t="s">
        <v>762</v>
      </c>
      <c r="B20" s="102" t="s">
        <v>761</v>
      </c>
    </row>
    <row r="21" spans="1:2" x14ac:dyDescent="0.2">
      <c r="A21" s="103" t="s">
        <v>613</v>
      </c>
      <c r="B21" s="102" t="s">
        <v>612</v>
      </c>
    </row>
    <row r="22" spans="1:2" x14ac:dyDescent="0.2">
      <c r="A22" s="103" t="s">
        <v>609</v>
      </c>
      <c r="B22" s="102" t="s">
        <v>608</v>
      </c>
    </row>
    <row r="23" spans="1:2" x14ac:dyDescent="0.2">
      <c r="A23" s="103" t="s">
        <v>760</v>
      </c>
      <c r="B23" s="102" t="s">
        <v>607</v>
      </c>
    </row>
    <row r="24" spans="1:2" x14ac:dyDescent="0.2">
      <c r="A24" s="103" t="s">
        <v>759</v>
      </c>
      <c r="B24" s="102" t="s">
        <v>588</v>
      </c>
    </row>
    <row r="25" spans="1:2" x14ac:dyDescent="0.2">
      <c r="A25" s="103" t="s">
        <v>758</v>
      </c>
      <c r="B25" s="102" t="s">
        <v>757</v>
      </c>
    </row>
    <row r="26" spans="1:2" x14ac:dyDescent="0.2">
      <c r="A26" s="103" t="s">
        <v>756</v>
      </c>
      <c r="B26" s="102" t="s">
        <v>755</v>
      </c>
    </row>
    <row r="27" spans="1:2" x14ac:dyDescent="0.2">
      <c r="A27" s="103" t="s">
        <v>581</v>
      </c>
      <c r="B27" s="102" t="s">
        <v>580</v>
      </c>
    </row>
    <row r="28" spans="1:2" x14ac:dyDescent="0.2">
      <c r="A28" s="103" t="s">
        <v>754</v>
      </c>
      <c r="B28" s="102" t="s">
        <v>686</v>
      </c>
    </row>
    <row r="29" spans="1:2" x14ac:dyDescent="0.2">
      <c r="A29" s="103" t="s">
        <v>579</v>
      </c>
      <c r="B29" s="102" t="s">
        <v>578</v>
      </c>
    </row>
    <row r="30" spans="1:2" x14ac:dyDescent="0.2">
      <c r="A30" s="103" t="s">
        <v>569</v>
      </c>
      <c r="B30" s="102" t="s">
        <v>568</v>
      </c>
    </row>
    <row r="31" spans="1:2" x14ac:dyDescent="0.2">
      <c r="A31" s="103" t="s">
        <v>567</v>
      </c>
      <c r="B31" s="102" t="s">
        <v>566</v>
      </c>
    </row>
    <row r="32" spans="1:2" x14ac:dyDescent="0.2">
      <c r="A32" s="103" t="s">
        <v>753</v>
      </c>
      <c r="B32" s="102" t="s">
        <v>562</v>
      </c>
    </row>
    <row r="33" spans="1:2" x14ac:dyDescent="0.2">
      <c r="A33" s="103" t="s">
        <v>752</v>
      </c>
      <c r="B33" s="102" t="s">
        <v>604</v>
      </c>
    </row>
    <row r="34" spans="1:2" x14ac:dyDescent="0.2">
      <c r="A34" s="103" t="s">
        <v>751</v>
      </c>
      <c r="B34" s="102" t="s">
        <v>750</v>
      </c>
    </row>
    <row r="35" spans="1:2" x14ac:dyDescent="0.2">
      <c r="A35" s="103" t="s">
        <v>551</v>
      </c>
      <c r="B35" s="102" t="s">
        <v>749</v>
      </c>
    </row>
    <row r="36" spans="1:2" x14ac:dyDescent="0.2">
      <c r="A36" s="103" t="s">
        <v>748</v>
      </c>
      <c r="B36" s="102" t="s">
        <v>560</v>
      </c>
    </row>
    <row r="37" spans="1:2" x14ac:dyDescent="0.2">
      <c r="A37" s="105" t="s">
        <v>747</v>
      </c>
      <c r="B37" s="104" t="s">
        <v>558</v>
      </c>
    </row>
    <row r="38" spans="1:2" x14ac:dyDescent="0.2">
      <c r="A38" s="103" t="s">
        <v>746</v>
      </c>
      <c r="B38" s="102" t="s">
        <v>745</v>
      </c>
    </row>
    <row r="39" spans="1:2" x14ac:dyDescent="0.2">
      <c r="A39" s="103" t="s">
        <v>744</v>
      </c>
      <c r="B39" s="102" t="s">
        <v>743</v>
      </c>
    </row>
    <row r="40" spans="1:2" x14ac:dyDescent="0.2">
      <c r="A40" s="103" t="s">
        <v>535</v>
      </c>
      <c r="B40" s="102" t="s">
        <v>534</v>
      </c>
    </row>
    <row r="41" spans="1:2" x14ac:dyDescent="0.2">
      <c r="A41" s="103" t="s">
        <v>531</v>
      </c>
      <c r="B41" s="102" t="s">
        <v>742</v>
      </c>
    </row>
    <row r="42" spans="1:2" x14ac:dyDescent="0.2">
      <c r="A42" s="103" t="s">
        <v>523</v>
      </c>
      <c r="B42" s="102" t="s">
        <v>741</v>
      </c>
    </row>
    <row r="43" spans="1:2" x14ac:dyDescent="0.2">
      <c r="A43" s="103" t="s">
        <v>521</v>
      </c>
      <c r="B43" s="102" t="s">
        <v>520</v>
      </c>
    </row>
    <row r="44" spans="1:2" x14ac:dyDescent="0.2">
      <c r="A44" s="103" t="s">
        <v>515</v>
      </c>
      <c r="B44" s="102" t="s">
        <v>514</v>
      </c>
    </row>
    <row r="45" spans="1:2" x14ac:dyDescent="0.2">
      <c r="A45" s="103" t="s">
        <v>740</v>
      </c>
      <c r="B45" s="102" t="s">
        <v>739</v>
      </c>
    </row>
    <row r="46" spans="1:2" x14ac:dyDescent="0.2">
      <c r="A46" s="103" t="s">
        <v>738</v>
      </c>
      <c r="B46" s="102" t="s">
        <v>737</v>
      </c>
    </row>
    <row r="47" spans="1:2" x14ac:dyDescent="0.2">
      <c r="A47" s="103" t="s">
        <v>505</v>
      </c>
      <c r="B47" s="102" t="s">
        <v>736</v>
      </c>
    </row>
    <row r="48" spans="1:2" x14ac:dyDescent="0.2">
      <c r="A48" s="103" t="s">
        <v>497</v>
      </c>
      <c r="B48" s="102" t="s">
        <v>735</v>
      </c>
    </row>
    <row r="49" spans="1:2" x14ac:dyDescent="0.2">
      <c r="A49" s="103" t="s">
        <v>493</v>
      </c>
      <c r="B49" s="102" t="s">
        <v>492</v>
      </c>
    </row>
    <row r="50" spans="1:2" x14ac:dyDescent="0.2">
      <c r="A50" s="103" t="s">
        <v>491</v>
      </c>
      <c r="B50" s="102" t="s">
        <v>490</v>
      </c>
    </row>
    <row r="51" spans="1:2" x14ac:dyDescent="0.2">
      <c r="A51" s="103" t="s">
        <v>734</v>
      </c>
      <c r="B51" s="102" t="s">
        <v>733</v>
      </c>
    </row>
    <row r="52" spans="1:2" x14ac:dyDescent="0.2">
      <c r="A52" s="103" t="s">
        <v>471</v>
      </c>
      <c r="B52" s="102" t="s">
        <v>470</v>
      </c>
    </row>
    <row r="53" spans="1:2" x14ac:dyDescent="0.2">
      <c r="A53" s="103" t="s">
        <v>732</v>
      </c>
      <c r="B53" s="102" t="s">
        <v>731</v>
      </c>
    </row>
    <row r="54" spans="1:2" x14ac:dyDescent="0.2">
      <c r="A54" s="103" t="s">
        <v>469</v>
      </c>
      <c r="B54" s="102" t="s">
        <v>468</v>
      </c>
    </row>
    <row r="55" spans="1:2" x14ac:dyDescent="0.2">
      <c r="A55" s="103" t="s">
        <v>457</v>
      </c>
      <c r="B55" s="102" t="s">
        <v>456</v>
      </c>
    </row>
    <row r="56" spans="1:2" x14ac:dyDescent="0.2">
      <c r="A56" s="103" t="s">
        <v>455</v>
      </c>
      <c r="B56" s="102" t="s">
        <v>454</v>
      </c>
    </row>
    <row r="57" spans="1:2" x14ac:dyDescent="0.2">
      <c r="A57" s="103" t="s">
        <v>730</v>
      </c>
      <c r="B57" s="102" t="s">
        <v>729</v>
      </c>
    </row>
    <row r="58" spans="1:2" x14ac:dyDescent="0.2">
      <c r="A58" s="103" t="s">
        <v>439</v>
      </c>
      <c r="B58" s="102" t="s">
        <v>728</v>
      </c>
    </row>
    <row r="59" spans="1:2" x14ac:dyDescent="0.2">
      <c r="A59" s="103" t="s">
        <v>437</v>
      </c>
      <c r="B59" s="102" t="s">
        <v>727</v>
      </c>
    </row>
    <row r="60" spans="1:2" x14ac:dyDescent="0.2">
      <c r="A60" s="103" t="s">
        <v>435</v>
      </c>
      <c r="B60" s="102" t="s">
        <v>726</v>
      </c>
    </row>
    <row r="61" spans="1:2" x14ac:dyDescent="0.2">
      <c r="A61" s="103" t="s">
        <v>725</v>
      </c>
      <c r="B61" s="102" t="s">
        <v>724</v>
      </c>
    </row>
    <row r="62" spans="1:2" x14ac:dyDescent="0.2">
      <c r="A62" s="103" t="s">
        <v>431</v>
      </c>
      <c r="B62" s="102" t="s">
        <v>723</v>
      </c>
    </row>
    <row r="63" spans="1:2" x14ac:dyDescent="0.2">
      <c r="A63" s="103" t="s">
        <v>722</v>
      </c>
      <c r="B63" s="102" t="s">
        <v>688</v>
      </c>
    </row>
    <row r="64" spans="1:2" x14ac:dyDescent="0.2">
      <c r="A64" s="103" t="s">
        <v>721</v>
      </c>
      <c r="B64" s="102" t="s">
        <v>720</v>
      </c>
    </row>
    <row r="65" spans="1:2" x14ac:dyDescent="0.2">
      <c r="A65" s="103" t="s">
        <v>719</v>
      </c>
      <c r="B65" s="102" t="s">
        <v>718</v>
      </c>
    </row>
    <row r="66" spans="1:2" x14ac:dyDescent="0.2">
      <c r="A66" s="103" t="s">
        <v>717</v>
      </c>
      <c r="B66" s="102" t="s">
        <v>440</v>
      </c>
    </row>
    <row r="67" spans="1:2" x14ac:dyDescent="0.2">
      <c r="A67" s="103" t="s">
        <v>716</v>
      </c>
      <c r="B67" s="102" t="s">
        <v>448</v>
      </c>
    </row>
    <row r="68" spans="1:2" x14ac:dyDescent="0.2">
      <c r="A68" s="103" t="s">
        <v>417</v>
      </c>
      <c r="B68" s="102" t="s">
        <v>715</v>
      </c>
    </row>
    <row r="69" spans="1:2" x14ac:dyDescent="0.2">
      <c r="A69" s="103" t="s">
        <v>415</v>
      </c>
      <c r="B69" s="102" t="s">
        <v>414</v>
      </c>
    </row>
    <row r="70" spans="1:2" x14ac:dyDescent="0.2">
      <c r="A70" s="103" t="s">
        <v>714</v>
      </c>
      <c r="B70" s="102" t="s">
        <v>713</v>
      </c>
    </row>
    <row r="71" spans="1:2" x14ac:dyDescent="0.2">
      <c r="A71" s="103" t="s">
        <v>712</v>
      </c>
      <c r="B71" s="102" t="s">
        <v>711</v>
      </c>
    </row>
    <row r="72" spans="1:2" x14ac:dyDescent="0.2">
      <c r="A72" s="103" t="s">
        <v>409</v>
      </c>
      <c r="B72" s="102" t="s">
        <v>710</v>
      </c>
    </row>
    <row r="73" spans="1:2" x14ac:dyDescent="0.2">
      <c r="A73" s="103" t="s">
        <v>407</v>
      </c>
      <c r="B73" s="102" t="s">
        <v>406</v>
      </c>
    </row>
    <row r="74" spans="1:2" x14ac:dyDescent="0.2">
      <c r="A74" s="103" t="s">
        <v>405</v>
      </c>
      <c r="B74" s="102" t="s">
        <v>404</v>
      </c>
    </row>
    <row r="75" spans="1:2" x14ac:dyDescent="0.2">
      <c r="A75" s="103" t="s">
        <v>709</v>
      </c>
      <c r="B75" s="102" t="s">
        <v>708</v>
      </c>
    </row>
    <row r="76" spans="1:2" x14ac:dyDescent="0.2">
      <c r="A76" s="103" t="s">
        <v>707</v>
      </c>
      <c r="B76" s="102" t="s">
        <v>706</v>
      </c>
    </row>
    <row r="77" spans="1:2" x14ac:dyDescent="0.2">
      <c r="A77" s="103" t="s">
        <v>397</v>
      </c>
      <c r="B77" s="102" t="s">
        <v>705</v>
      </c>
    </row>
    <row r="78" spans="1:2" x14ac:dyDescent="0.2">
      <c r="A78" s="103" t="s">
        <v>704</v>
      </c>
      <c r="B78" s="102" t="s">
        <v>394</v>
      </c>
    </row>
    <row r="79" spans="1:2" x14ac:dyDescent="0.2">
      <c r="A79" s="105" t="s">
        <v>703</v>
      </c>
      <c r="B79" s="104" t="s">
        <v>702</v>
      </c>
    </row>
    <row r="80" spans="1:2" x14ac:dyDescent="0.2">
      <c r="A80" s="103" t="s">
        <v>701</v>
      </c>
      <c r="B80" s="102" t="s">
        <v>386</v>
      </c>
    </row>
    <row r="81" spans="1:2" x14ac:dyDescent="0.2">
      <c r="A81" s="103" t="s">
        <v>700</v>
      </c>
      <c r="B81" s="102" t="s">
        <v>634</v>
      </c>
    </row>
    <row r="82" spans="1:2" x14ac:dyDescent="0.2">
      <c r="A82" s="103" t="s">
        <v>699</v>
      </c>
      <c r="B82" s="102" t="s">
        <v>382</v>
      </c>
    </row>
    <row r="83" spans="1:2" x14ac:dyDescent="0.2">
      <c r="A83" s="103" t="s">
        <v>373</v>
      </c>
      <c r="B83" s="102" t="s">
        <v>372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ALL PRODUCTS Layout</vt:lpstr>
      <vt:lpstr>Ethnicity</vt:lpstr>
      <vt:lpstr>Language</vt:lpstr>
      <vt:lpstr>'ALL PRODUCTS Layout'!Print_Titles</vt:lpstr>
    </vt:vector>
  </TitlesOfParts>
  <Company>Experian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 Lim</dc:creator>
  <cp:lastModifiedBy>Herren, Irene</cp:lastModifiedBy>
  <cp:lastPrinted>2009-07-23T19:04:19Z</cp:lastPrinted>
  <dcterms:created xsi:type="dcterms:W3CDTF">2008-07-30T17:02:56Z</dcterms:created>
  <dcterms:modified xsi:type="dcterms:W3CDTF">2013-10-08T17:42:14Z</dcterms:modified>
</cp:coreProperties>
</file>